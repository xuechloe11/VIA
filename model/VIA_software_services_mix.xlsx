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rgin_Inputs" sheetId="2" state="visible" r:id="rId4"/>
    <sheet name="Margin_Decomp" sheetId="3" state="visible" r:id="rId5"/>
    <sheet name="Blended_Formula" sheetId="4" state="visible" r:id="rId6"/>
    <sheet name="Contracts" sheetId="5" state="visible" r:id="rId7"/>
    <sheet name="Updated_Mix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Base case 22%. Contract transit operators typically run low-teens to ~20% gross margins. Via's routing software should lift utilization, so it's set slightly above that.</t>
        </r>
      </text>
    </comment>
    <comment ref="C6" authorId="0">
      <text>
        <r>
          <rPr>
            <sz val="10"/>
            <rFont val="Arial"/>
            <family val="2"/>
          </rPr>
          <t xml:space="preserve">Per the 10-K, launch &amp; support personnel covers local ops staff and field managers doing implementation AND ongoing operations support. 50% is a split-the-difference assumption.</t>
        </r>
      </text>
    </comment>
    <comment ref="C7" authorId="0">
      <text>
        <r>
          <rPr>
            <sz val="10"/>
            <rFont val="Arial"/>
            <family val="2"/>
          </rPr>
          <t xml:space="preserve">Bleecker alleges insurance sits in G&amp;A, not cost of revenue, overstating GM by ~3–4pts. Set to 3.5% to test.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Q4 2025 Annual Run-Rate Revenue $476M (4x Q4 revenue). Source: Q4/FY25 press release.</t>
        </r>
      </text>
    </comment>
    <comment ref="C8" authorId="0">
      <text>
        <r>
          <rPr>
            <sz val="10"/>
            <rFont val="Arial"/>
            <family val="2"/>
          </rPr>
          <t xml:space="preserve">Arlington TX: software &lt;5%, TaaS ~96% (Bleecker). Texas Q4'25 example: 0.44%. LA Metro: 0% (unbundled). 4% is the high end, which is generous to software.</t>
        </r>
      </text>
    </comment>
    <comment ref="C40" authorId="0">
      <text>
        <r>
          <rPr>
            <sz val="10"/>
            <rFont val="Arial"/>
            <family val="2"/>
          </rPr>
          <t xml:space="preserve">About 2/3 of growth comes from existing customers (mgmt), mostly added vehicle-hours per Bleecker. Downtowner (acquired 12/12/25, $40.7M) is a turnkey destination-city operator. Set lower if you think software-only logos drive the residual.</t>
        </r>
      </text>
    </comment>
  </commentList>
</comments>
</file>

<file path=xl/sharedStrings.xml><?xml version="1.0" encoding="utf-8"?>
<sst xmlns="http://schemas.openxmlformats.org/spreadsheetml/2006/main" count="439" uniqueCount="330">
  <si>
    <t xml:space="preserve">VIA: software vs. services revenue mix</t>
  </si>
  <si>
    <t xml:space="preserve">All $ in millions. Blue = hardcoded input; black = formula; green = link to another sheet. Yellow = key assumption to flex.</t>
  </si>
  <si>
    <t xml:space="preserve">1) Mix implied by the financials (Q2 2026)</t>
  </si>
  <si>
    <t xml:space="preserve">Services cost intensity (tech-enabled services cost / revenue)</t>
  </si>
  <si>
    <t xml:space="preserve">Hard floor on services share if services earn a 0% gross margin.</t>
  </si>
  <si>
    <t xml:space="preserve">Services share at base-case services GM</t>
  </si>
  <si>
    <t xml:space="preserve">Base services GM set on Margin_Decomp!C5.</t>
  </si>
  <si>
    <t xml:space="preserve">Implied software GM at base case</t>
  </si>
  <si>
    <t xml:space="preserve">Check that it's plausible (typically 70–85% for vertical SaaS).</t>
  </si>
  <si>
    <t xml:space="preserve">Services GM needed to reproduce Bleecker's 72%</t>
  </si>
  <si>
    <t xml:space="preserve">Compare with contract operators (Transdev, MV), which run low-teens gross margins.</t>
  </si>
  <si>
    <t xml:space="preserve">Your formula: (gS − g)/(gS − gV) at 80% / 25%</t>
  </si>
  <si>
    <t xml:space="preserve">Uses Q2'26 reported GM.</t>
  </si>
  <si>
    <t xml:space="preserve">2) Contract-based mix (Bleecker method + contracts since Dec 16, 2025)</t>
  </si>
  <si>
    <t xml:space="preserve">Bleecker baseline services share (Dec 2025)</t>
  </si>
  <si>
    <t xml:space="preserve">Bleecker's headline estimate. Their contract table couldn't be accessed from here.</t>
  </si>
  <si>
    <t xml:space="preserve">Scenario A: + identified public contracts</t>
  </si>
  <si>
    <t xml:space="preserve">Only contracts with a public $ value and a clear scope.</t>
  </si>
  <si>
    <t xml:space="preserve">Scenario B: A + mgmt's '4 network deals, &gt;$40M ACV'</t>
  </si>
  <si>
    <t xml:space="preserve">Swaps possible-network deals (Plano, TCATA) for mgmt's $40M total.</t>
  </si>
  <si>
    <t xml:space="preserve">Scenario C: rolled forward to Q2'26 ARR</t>
  </si>
  <si>
    <t xml:space="preserve">Leftover growth taken at the input share on Updated_Mix!C40.</t>
  </si>
  <si>
    <t xml:space="preserve">Read-across</t>
  </si>
  <si>
    <t xml:space="preserve">• The financials support Bleecker's 72% only if Via earns ~25% gross margin on services (implied software GM ~82%). At 20% services GM the Q2'26 mix is ~67.5% services; at 15%, ~63.5%. If insurance is outside COGS as Bleecker says (Margin_Decomp!C7), the services share goes up.</t>
  </si>
  <si>
    <t xml:space="preserve">• Tech-enabled services cost rose from 49.7% of revenue (FY2024) to 51–52% (FY2025–Q2'26). The financials show no shift toward software yet. The Q2'26 GM step-up came from one-time revenue, which mgmt says will revert.</t>
  </si>
  <si>
    <t xml:space="preserve">• Every new contract found with a public $ value since Dec 2025 is turnkey (~96% services by line item). The only software-only deal found is NJ TRANSIT Monmouth, value undisclosed. The contract-based mix drifts up to ~72.7% (A) and ~74% (B/C).</t>
  </si>
  <si>
    <t xml:space="preserve">• Caveat: public records over-sample large turnkey deals, because small software-only renewals often fall below council approval thresholds or run through co-op contracts (OMNIA). That biases the contract method toward services.</t>
  </si>
  <si>
    <t xml:space="preserve">Reported revenue and cost-of-revenue split ($mm, GAAP)</t>
  </si>
  <si>
    <t xml:space="preserve">Via splits cost of revenue into: technology-enabled services (drivers, vehicles, fleet mgmt, call center), launch &amp; support personnel, IT &amp; other (hosting, amortization).</t>
  </si>
  <si>
    <t xml:space="preserve">Period</t>
  </si>
  <si>
    <t xml:space="preserve">Revenue</t>
  </si>
  <si>
    <t xml:space="preserve">Tech-enabled services cost</t>
  </si>
  <si>
    <t xml:space="preserve">Launch &amp; support personnel</t>
  </si>
  <si>
    <t xml:space="preserve">IT &amp; other</t>
  </si>
  <si>
    <t xml:space="preserve">Total COGS</t>
  </si>
  <si>
    <t xml:space="preserve">Gross profit</t>
  </si>
  <si>
    <t xml:space="preserve">GM %</t>
  </si>
  <si>
    <t xml:space="preserve">Source / note</t>
  </si>
  <si>
    <t xml:space="preserve">FY2024</t>
  </si>
  <si>
    <t xml:space="preserve">S-1/A: FY24 revenue $337.6M; cost split $167.7 / $24.3 / $14.8M (total $206.8M).</t>
  </si>
  <si>
    <t xml:space="preserve">H1 2025</t>
  </si>
  <si>
    <t xml:space="preserve">Q3'25 10-Q: 6M revenue = GP $81.761M + COGS $124.014M; cost split $105.0 / $12.3 / $6.7M.</t>
  </si>
  <si>
    <t xml:space="preserve">Q3 2025</t>
  </si>
  <si>
    <t xml:space="preserve">Q3'25 10-Q: revenue $109.653M, GP $43.086M; cost split $57.1 / $6.3 / $3.2M.</t>
  </si>
  <si>
    <t xml:space="preserve">Q4 2025</t>
  </si>
  <si>
    <t xml:space="preserve">Derived: FY2025 − H1 2025 − Q3 2025.</t>
  </si>
  <si>
    <t xml:space="preserve">FY2025</t>
  </si>
  <si>
    <t xml:space="preserve">10-K FY25: revenue $434.337M; cost split $223.5 / $25.8 / $13.3M.</t>
  </si>
  <si>
    <t xml:space="preserve">Q1 2026</t>
  </si>
  <si>
    <t xml:space="preserve">Q1'26 10-Q: revenue $127.43M; COGS $77.4M; GP $50.1M.</t>
  </si>
  <si>
    <t xml:space="preserve">Q2 2026</t>
  </si>
  <si>
    <t xml:space="preserve">Q2'26 10-Q: COGS $80.1M, GP $55.6M (so revenue = $135.7M).</t>
  </si>
  <si>
    <t xml:space="preserve">Check: Q2'26 COGS</t>
  </si>
  <si>
    <t xml:space="preserve">← should be ~0 (rounding)</t>
  </si>
  <si>
    <t xml:space="preserve">Check: Q1'26 COGS</t>
  </si>
  <si>
    <t xml:space="preserve">Check: Q3'25 COGS</t>
  </si>
  <si>
    <t xml:space="preserve">Adjusted GM (non-GAAP, excludes SBC and acquired-intangible amortization) is within ~0.5pt of GAAP (e.g. Q3'25 adj. GP $43.471M vs GAAP $43.086M), so GAAP is used throughout. Mgmt: Q2'26 adj. GM 41%, LT target 50%.</t>
  </si>
  <si>
    <t xml:space="preserve">Backing out the mix from the cost-of-revenue split</t>
  </si>
  <si>
    <t xml:space="preserve">Services revenue = services cost / (1 − services GM). Software revenue = revenue − services revenue. Implied software GM follows. If implied software GM comes out implausible, the services GM assumption is wrong.</t>
  </si>
  <si>
    <t xml:space="preserve">Assumptions</t>
  </si>
  <si>
    <t xml:space="preserve">Services gross margin (gV)</t>
  </si>
  <si>
    <t xml:space="preserve">Share of launch &amp; support personnel allocated to services (α)</t>
  </si>
  <si>
    <t xml:space="preserve">Insurance outside COGS, % of revenue (Bleecker claim)</t>
  </si>
  <si>
    <t xml:space="preserve">Bleecker services share (target to reconcile)</t>
  </si>
  <si>
    <t xml:space="preserve">Line</t>
  </si>
  <si>
    <t xml:space="preserve">Services cost incl. α·LSP + insurance</t>
  </si>
  <si>
    <t xml:space="preserve">Software cost = IT&amp;other + (1−α)·LSP</t>
  </si>
  <si>
    <t xml:space="preserve">Implied services revenue</t>
  </si>
  <si>
    <t xml:space="preserve">Services share of revenue</t>
  </si>
  <si>
    <t xml:space="preserve">Implied software revenue</t>
  </si>
  <si>
    <t xml:space="preserve">Software share of revenue</t>
  </si>
  <si>
    <t xml:space="preserve">Implied software GM</t>
  </si>
  <si>
    <t xml:space="preserve">Blended GM (check vs reported)</t>
  </si>
  <si>
    <t xml:space="preserve">Services cost intensity: tech-enabled cost / revenue (0%-margin floor)</t>
  </si>
  <si>
    <t xml:space="preserve">Services share if services GM = 15%</t>
  </si>
  <si>
    <t xml:space="preserve">Services share if services GM = 30%</t>
  </si>
  <si>
    <t xml:space="preserve">Services GM required to hit Bleecker share</t>
  </si>
  <si>
    <t xml:space="preserve">…and the software GM that implies</t>
  </si>
  <si>
    <t xml:space="preserve">Row 20 should equal the reported GM on Margin_Inputs (insurance is added back because it's being moved into COGS only for the mix calculation).</t>
  </si>
  <si>
    <t xml:space="preserve">Sensitivity (Q2 2026): services share of revenue</t>
  </si>
  <si>
    <t xml:space="preserve">rows = services GM; cols = α (share of launch &amp; support in services)</t>
  </si>
  <si>
    <t xml:space="preserve">gV \ α</t>
  </si>
  <si>
    <t xml:space="preserve">Sensitivity (Q2 2026): implied software GM</t>
  </si>
  <si>
    <t xml:space="preserve">Your formula: services share = (gS − g) / (gS − gV)</t>
  </si>
  <si>
    <t xml:space="preserve">Blended GM used (g)</t>
  </si>
  <si>
    <t xml:space="preserve">← Q2'26 reported. Overwrite with 0.393 for Q1'26/Q3'25.</t>
  </si>
  <si>
    <t xml:space="preserve">Software GM (gS)</t>
  </si>
  <si>
    <t xml:space="preserve">Services GM (gV)</t>
  </si>
  <si>
    <t xml:space="preserve">LT target blended GM (mgmt)</t>
  </si>
  <si>
    <t xml:space="preserve">Services share at inputs above</t>
  </si>
  <si>
    <t xml:space="preserve">Services share needed for 50% GM at same gS/gV</t>
  </si>
  <si>
    <t xml:space="preserve">…or services GM needed for 50% at today's mix</t>
  </si>
  <si>
    <t xml:space="preserve">Grid: services share (rows = gS, cols = gV), at blended g in C3</t>
  </si>
  <si>
    <t xml:space="preserve">gS \ gV</t>
  </si>
  <si>
    <t xml:space="preserve">Limitation: blended GM alone can't separate a high services share at good margins from a lower share at poor margins. Margin_Decomp adds the second equation (the reported cost split), which pins down the trade-off.</t>
  </si>
  <si>
    <t xml:space="preserve">Contract tracker: Bleecker reference set (pre-Dec 16, 2025) + new contracts since</t>
  </si>
  <si>
    <t xml:space="preserve">Software % column: 'Actual' = from contract line items; 'Assumed' = links to the turnkey software-share assumption on Updated_Mix!C8 (Bleecker: software &lt;5% of TCV on turnkey deals). Include = 1 only for post-window contracts with a public $ value that were actually approved.</t>
  </si>
  <si>
    <t xml:space="preserve">#</t>
  </si>
  <si>
    <t xml:space="preserve">Agency / customer</t>
  </si>
  <si>
    <t xml:space="preserve">Via entity</t>
  </si>
  <si>
    <t xml:space="preserve">Approved / effective</t>
  </si>
  <si>
    <t xml:space="preserve">Window</t>
  </si>
  <si>
    <t xml:space="preserve">Scope</t>
  </si>
  <si>
    <t xml:space="preserve">Total value ($mm)</t>
  </si>
  <si>
    <t xml:space="preserve">Term (months)</t>
  </si>
  <si>
    <t xml:space="preserve">Annualized value ($mm)</t>
  </si>
  <si>
    <t xml:space="preserve">Software % of value</t>
  </si>
  <si>
    <t xml:space="preserve">Software $ (annual)</t>
  </si>
  <si>
    <t xml:space="preserve">Services $ (annual)</t>
  </si>
  <si>
    <t xml:space="preserve">Line-item basis</t>
  </si>
  <si>
    <t xml:space="preserve">Include in update (1/0)</t>
  </si>
  <si>
    <t xml:space="preserve">Possible network deal (1/0)</t>
  </si>
  <si>
    <t xml:space="preserve">Notes</t>
  </si>
  <si>
    <t xml:space="preserve">Source</t>
  </si>
  <si>
    <t xml:space="preserve">LA Metro – Metro Micro ops (North+South)</t>
  </si>
  <si>
    <t xml:space="preserve">Nomad Transit LLC</t>
  </si>
  <si>
    <t xml:space="preserve">2024-11-21</t>
  </si>
  <si>
    <t xml:space="preserve">Pre</t>
  </si>
  <si>
    <t xml:space="preserve">Turnkey</t>
  </si>
  <si>
    <t xml:space="preserve">Actual</t>
  </si>
  <si>
    <t xml:space="preserve">IDIQ, 3+3 yrs; $82.35→$94.50/rev. hr on 253,003 hrs. Software went to Spare Labs ($61K→$447K). Via kept operations only.</t>
  </si>
  <si>
    <t xml:space="preserve">S24,S26</t>
  </si>
  <si>
    <t xml:space="preserve">Arlington, TX – On-Demand</t>
  </si>
  <si>
    <t xml:space="preserve">Via</t>
  </si>
  <si>
    <t xml:space="preserve">2024-12</t>
  </si>
  <si>
    <t xml:space="preserve">Ceiling cut 31% from $30.2M. 'Micro TaaS' ~96% of value; software &lt;5% and doesn't scale with usage.</t>
  </si>
  <si>
    <t xml:space="preserve">S8,S26</t>
  </si>
  <si>
    <t xml:space="preserve">DCTA GoZone (2023–24 extension)</t>
  </si>
  <si>
    <t xml:space="preserve">2023</t>
  </si>
  <si>
    <t xml:space="preserve">234,895 van hrs @ ~$42.11/hr + customer service $283.5K per 6 months. All hour/labor-based. Status after 9/30/24 unverified.</t>
  </si>
  <si>
    <t xml:space="preserve">S26</t>
  </si>
  <si>
    <t xml:space="preserve">King County Metro – Metro Flex</t>
  </si>
  <si>
    <t xml:space="preserve">2023-02</t>
  </si>
  <si>
    <t xml:space="preserve">Assumed</t>
  </si>
  <si>
    <t xml:space="preserve">~$7M/yr, 3-yr term. Issaquah recommended not renewing its piece at end-2025 (~$41/ride).</t>
  </si>
  <si>
    <t xml:space="preserve">Mobile, AL – The Wave (full system)</t>
  </si>
  <si>
    <t xml:space="preserve">Port City Transit LLC</t>
  </si>
  <si>
    <t xml:space="preserve">2025-09-16</t>
  </si>
  <si>
    <t xml:space="preserve">$12.1M/yr, 3 yrs + two 1-yr options. Takeover from Transdev, staff transfer. A network deal.</t>
  </si>
  <si>
    <t xml:space="preserve">New Braunfels, TX</t>
  </si>
  <si>
    <t xml:space="preserve">River North Transit LLC</t>
  </si>
  <si>
    <t xml:space="preserve">2025-10-13</t>
  </si>
  <si>
    <t xml:space="preserve">$1.15–1.29M/yr; yr-1 funded mostly by ARPA.</t>
  </si>
  <si>
    <t xml:space="preserve">Miami-Dade</t>
  </si>
  <si>
    <t xml:space="preserve">2020</t>
  </si>
  <si>
    <t xml:space="preserve">Up to $4.66M over 3 yrs; 45 vehicles as of late 2024.</t>
  </si>
  <si>
    <t xml:space="preserve">Lorain County, OH – ViaLC extension</t>
  </si>
  <si>
    <t xml:space="preserve">2025-07</t>
  </si>
  <si>
    <t xml:space="preserve">1-yr extension through Jul 2026. Jan 2026: $2.8M federal grant to expand (grant, not a contract).</t>
  </si>
  <si>
    <t xml:space="preserve">S23</t>
  </si>
  <si>
    <t xml:space="preserve">Gastonia, NC</t>
  </si>
  <si>
    <t xml:space="preserve">2024</t>
  </si>
  <si>
    <t xml:space="preserve">$1.65M in yr 1 of 36 months.</t>
  </si>
  <si>
    <t xml:space="preserve">Q4'25 call example – Texas customer</t>
  </si>
  <si>
    <t xml:space="preserve">2025</t>
  </si>
  <si>
    <t xml:space="preserve">~22,000 veh-hrs/yr @ $50/hr = $1.1M ACV; only $15K upfront software implementation (0.44% of TCV).</t>
  </si>
  <si>
    <t xml:space="preserve">Transport for London – Dial-a-Ride (software)</t>
  </si>
  <si>
    <t xml:space="preserve">Via Technologies B.V.</t>
  </si>
  <si>
    <t xml:space="preserve">2022-08-05</t>
  </si>
  <si>
    <t xml:space="preserve">Software-only</t>
  </si>
  <si>
    <t xml:space="preserve">£2,307,950 over 5 yrs (converted at ~$1.27/£). Shows how small software-only ACVs are even at a very large agency.</t>
  </si>
  <si>
    <t xml:space="preserve">S25</t>
  </si>
  <si>
    <t xml:space="preserve">TCATA (Benton Harbor / St. Joseph, MI)</t>
  </si>
  <si>
    <t xml:space="preserve">2025-12 (ops 2026-04-01)</t>
  </si>
  <si>
    <t xml:space="preserve">Post</t>
  </si>
  <si>
    <t xml:space="preserve">Turnkey (network)</t>
  </si>
  <si>
    <t xml:space="preserve">Board approved Dec 2025; Via took over the whole network Apr 1, 2026. $ value not found in public search. Not in the report (published Dec 16).</t>
  </si>
  <si>
    <t xml:space="preserve">S20</t>
  </si>
  <si>
    <t xml:space="preserve">Plano, TX – Plano Rides</t>
  </si>
  <si>
    <t xml:space="preserve">Via Transportation Inc.</t>
  </si>
  <si>
    <t xml:space="preserve">2026-02-23</t>
  </si>
  <si>
    <t xml:space="preserve">$3,952,247 for 6 months; three 1-yr auto renewals est. ~$8M/yr. 22 vehicles, seniors 65+ microtransit + paratransit.</t>
  </si>
  <si>
    <t xml:space="preserve">S11</t>
  </si>
  <si>
    <t xml:space="preserve">Addison, TX – Addison Orbit</t>
  </si>
  <si>
    <t xml:space="preserve">2026-03-24</t>
  </si>
  <si>
    <t xml:space="preserve">NTE $872,231, 6-month pilot, microtransit + ADA paratransit, 5am–midnight.</t>
  </si>
  <si>
    <t xml:space="preserve">S12</t>
  </si>
  <si>
    <t xml:space="preserve">NJ TRANSIT MicroLink – Bergen</t>
  </si>
  <si>
    <t xml:space="preserve">2026-04-06</t>
  </si>
  <si>
    <t xml:space="preserve">Via operates. FTA-funded 2-yr pilot. Value not found.</t>
  </si>
  <si>
    <t xml:space="preserve">S15</t>
  </si>
  <si>
    <t xml:space="preserve">NJ TRANSIT MicroLink – Monmouth</t>
  </si>
  <si>
    <t xml:space="preserve">NJ TRANSIT runs service itself on Via software. The only software-only deal found in the new window. Value not found.</t>
  </si>
  <si>
    <t xml:space="preserve">Highland Park, TX – On-Demand</t>
  </si>
  <si>
    <t xml:space="preserve">2026-04 (launch 5/13)</t>
  </si>
  <si>
    <t xml:space="preserve">$1.55M FY26 budget amendment for 6-month pilot (4 vehicles + paratransit). That's a budget appropriation, not the signed contract value.</t>
  </si>
  <si>
    <t xml:space="preserve">S13</t>
  </si>
  <si>
    <t xml:space="preserve">University Park, TX</t>
  </si>
  <si>
    <t xml:space="preserve">2026-04-07</t>
  </si>
  <si>
    <t xml:space="preserve">Tabled, then CANCELLED after voters stayed in DART. Excluded.</t>
  </si>
  <si>
    <t xml:space="preserve">S14</t>
  </si>
  <si>
    <t xml:space="preserve">Union County, NJ</t>
  </si>
  <si>
    <t xml:space="preserve">2026-06</t>
  </si>
  <si>
    <t xml:space="preserve">1-yr pilot; Via supplies vehicles, drivers, tech, customer service, maintenance. Value not disclosed.</t>
  </si>
  <si>
    <t xml:space="preserve">S16</t>
  </si>
  <si>
    <t xml:space="preserve">Douglas County, CO – Link On Demand Castle Rock</t>
  </si>
  <si>
    <t xml:space="preserve">2026-07-14</t>
  </si>
  <si>
    <t xml:space="preserve">MSA + initial scope $1,991,720; 2-yr contract + 3 one-yr options; ~$2M/yr; $33–40 per ride.</t>
  </si>
  <si>
    <t xml:space="preserve">S17</t>
  </si>
  <si>
    <t xml:space="preserve">Cobb County, GA – microtransit expansion</t>
  </si>
  <si>
    <t xml:space="preserve">2026-09 (consent agenda)</t>
  </si>
  <si>
    <t xml:space="preserve">$6.3M total: Acworth/Kennesaw (2 yrs) + Mableton (1 yr). Split unknown, so annualized over 24 months (conservative). Mostly state funds.</t>
  </si>
  <si>
    <t xml:space="preserve">S18</t>
  </si>
  <si>
    <t xml:space="preserve">Jersey City, NJ – Via service cut</t>
  </si>
  <si>
    <t xml:space="preserve">2026-07-01</t>
  </si>
  <si>
    <t xml:space="preserve">Reduction</t>
  </si>
  <si>
    <t xml:space="preserve">City cut Via hours roughly in half and ended Saturday service: ~$4M/yr savings. A services-hours cut; software is kept.</t>
  </si>
  <si>
    <t xml:space="preserve">S19</t>
  </si>
  <si>
    <t xml:space="preserve">Garner, NC – feasibility study</t>
  </si>
  <si>
    <t xml:space="preserve">2026</t>
  </si>
  <si>
    <t xml:space="preserve">Consulting (one-time)</t>
  </si>
  <si>
    <t xml:space="preserve">60-day feasibility contract. One-time planning/consulting, value n/a.</t>
  </si>
  <si>
    <t xml:space="preserve">S22</t>
  </si>
  <si>
    <t xml:space="preserve">Pre-window turnkey reference set: $-weighted services share</t>
  </si>
  <si>
    <t xml:space="preserve">Pre-window, all rows incl. software-only: $-weighted services share</t>
  </si>
  <si>
    <t xml:space="preserve">Why the raw contract sample overstates services vs Bleecker's 72%: public records over-sample big turnkey deals, so the sample has to be re-weighted to Via's customer base (see Updated_Mix, section 4).</t>
  </si>
  <si>
    <t xml:space="preserve">Updated software/services mix: Bleecker baseline + post-Dec-2025 contracts</t>
  </si>
  <si>
    <t xml:space="preserve">1) Baseline (Bleecker, Dec 16, 2025)</t>
  </si>
  <si>
    <t xml:space="preserve">Run-rate revenue base at Bleecker date: Q4'25 ARR ($mm)</t>
  </si>
  <si>
    <t xml:space="preserve">Also: FY2025 revenue ($mm), for reference</t>
  </si>
  <si>
    <t xml:space="preserve">Bleecker services share</t>
  </si>
  <si>
    <t xml:space="preserve">Baseline services $ / software $</t>
  </si>
  <si>
    <t xml:space="preserve">Turnkey contracts: software % of contract value</t>
  </si>
  <si>
    <t xml:space="preserve">2) Scenario A: add identified public contracts (Include = 1)</t>
  </si>
  <si>
    <t xml:space="preserve">Item</t>
  </si>
  <si>
    <t xml:space="preserve">Services $</t>
  </si>
  <si>
    <t xml:space="preserve">Software $</t>
  </si>
  <si>
    <t xml:space="preserve">Total $</t>
  </si>
  <si>
    <t xml:space="preserve">Baseline</t>
  </si>
  <si>
    <t xml:space="preserve">New turnkey wins (annualized)</t>
  </si>
  <si>
    <t xml:space="preserve">Reductions (Jersey City)</t>
  </si>
  <si>
    <t xml:space="preserve">Updated total</t>
  </si>
  <si>
    <t xml:space="preserve">New-contract-only services share (flow, excl. reductions)</t>
  </si>
  <si>
    <t xml:space="preserve">Net new ACV identified ($mm)</t>
  </si>
  <si>
    <t xml:space="preserve">Scenario A: updated services share</t>
  </si>
  <si>
    <t xml:space="preserve">Change vs Bleecker (pts)</t>
  </si>
  <si>
    <t xml:space="preserve">3) Scenario B: A, but replace possible network deals with mgmt's disclosed total</t>
  </si>
  <si>
    <t xml:space="preserve">Mgmt: 4 network deals won in 2026, &gt;$40M total ACV (Q1'26 call)</t>
  </si>
  <si>
    <t xml:space="preserve">Network deals software % (turnkey)</t>
  </si>
  <si>
    <t xml:space="preserve">Identified A contracts NOT flagged as possible network ($)</t>
  </si>
  <si>
    <t xml:space="preserve">Network deals</t>
  </si>
  <si>
    <t xml:space="preserve">Updated total (baseline + rows 30–31)</t>
  </si>
  <si>
    <t xml:space="preserve">Scenario B: updated services share</t>
  </si>
  <si>
    <t xml:space="preserve">4) Scenario C: roll forward to latest run-rate (Q2'26 ARR)</t>
  </si>
  <si>
    <t xml:space="preserve">Q2'26 ARR ($mm)</t>
  </si>
  <si>
    <t xml:space="preserve">Growth since baseline explained by Scenario B adds</t>
  </si>
  <si>
    <t xml:space="preserve">Residual (organic expansion, unlisted wins, Downtowner, FX)</t>
  </si>
  <si>
    <t xml:space="preserve">Services share assumed on residual</t>
  </si>
  <si>
    <t xml:space="preserve">Note: part of Scenario B ACV hasn't launched yet (mgmt: H2 launches), so C38 can exceed what's in Q2 ARR. If the residual is negative, treat C as an upper bound.</t>
  </si>
  <si>
    <t xml:space="preserve">Rolled-forward services $ / software $</t>
  </si>
  <si>
    <t xml:space="preserve">Scenario C: services share at Q2'26 run-rate</t>
  </si>
  <si>
    <t xml:space="preserve">5) Cross-check against the financials (Q2 2026)</t>
  </si>
  <si>
    <t xml:space="preserve">Financial-implied services share at base services GM</t>
  </si>
  <si>
    <t xml:space="preserve">Services GM needed to match Scenario A share</t>
  </si>
  <si>
    <t xml:space="preserve">Software GM implied at that point</t>
  </si>
  <si>
    <t xml:space="preserve">Services GM needed to match Scenario B share</t>
  </si>
  <si>
    <t xml:space="preserve">6) Implied customer economics at Bleecker-style mix (Q2'26)</t>
  </si>
  <si>
    <t xml:space="preserve">Customers (Q2'26)</t>
  </si>
  <si>
    <t xml:space="preserve">Share of customers buying services (mgmt: ~20%)</t>
  </si>
  <si>
    <t xml:space="preserve">Avg services ACV per turnkey customer ($mm)</t>
  </si>
  <si>
    <t xml:space="preserve">Avg software ACV per customer, all customers ($mm)</t>
  </si>
  <si>
    <t xml:space="preserve">Sanity check vs benchmarks: TfL Dial-a-Ride software ~$0.59M/yr; LA Metro's Spare software $0.45M; Arlington software ~4% of $10.4M ≈ $0.4M.</t>
  </si>
  <si>
    <t xml:space="preserve">Sources</t>
  </si>
  <si>
    <t xml:space="preserve">Primary pages (SEC, council sites) were blocked from this environment. Figures come from search-engine extracts of these pages, so verify key numbers against the originals before presenting.</t>
  </si>
  <si>
    <t xml:space="preserve">ID</t>
  </si>
  <si>
    <t xml:space="preserve">Description</t>
  </si>
  <si>
    <t xml:space="preserve">URL</t>
  </si>
  <si>
    <t xml:space="preserve">S1</t>
  </si>
  <si>
    <t xml:space="preserve">Via S-1/A (FY2024 revenue $337.6M; FY2024 cost of revenue split)</t>
  </si>
  <si>
    <t xml:space="preserve">https://www.sec.gov/Archives/edgar/data/1603015/000160301525000012/viatransportationinc-sx1a.htm</t>
  </si>
  <si>
    <t xml:space="preserve">S2</t>
  </si>
  <si>
    <t xml:space="preserve">Via 10-Q Q3 2025 (Q3 and 9M 2025 cost of revenue split; H1 2025 figures)</t>
  </si>
  <si>
    <t xml:space="preserve">https://www.sec.gov/Archives/edgar/data/1603015/000160301525000042/via-20250930.htm</t>
  </si>
  <si>
    <t xml:space="preserve">S3</t>
  </si>
  <si>
    <t xml:space="preserve">Via 10-K FY2025 (FY2025 revenue $434.337M; FY cost of revenue split)</t>
  </si>
  <si>
    <t xml:space="preserve">https://www.sec.gov/Archives/edgar/data/1603015/000160301526000008/via-20251231.htm</t>
  </si>
  <si>
    <t xml:space="preserve">S4</t>
  </si>
  <si>
    <t xml:space="preserve">Via 10-Q Q1 2026</t>
  </si>
  <si>
    <t xml:space="preserve">https://www.sec.gov/Archives/edgar/data/0001603015/000160301526000014/via-20260331.htm</t>
  </si>
  <si>
    <t xml:space="preserve">S5</t>
  </si>
  <si>
    <t xml:space="preserve">Via 10-Q Q2 2026</t>
  </si>
  <si>
    <t xml:space="preserve">https://www.sec.gov/Archives/edgar/data/0001603015/000160301526000026/via-20260630.htm</t>
  </si>
  <si>
    <t xml:space="preserve">S6</t>
  </si>
  <si>
    <t xml:space="preserve">Via Q4/FY2025 press release (ARR $476M)</t>
  </si>
  <si>
    <t xml:space="preserve">https://www.sec.gov/Archives/edgar/data/1603015/000160301526000002/viaq425pressrelease.htm</t>
  </si>
  <si>
    <t xml:space="preserve">S7</t>
  </si>
  <si>
    <t xml:space="preserve">Via Q2 2026 press release (ARR $543M, adj. GM 41%)</t>
  </si>
  <si>
    <t xml:space="preserve">https://www.sec.gov/Archives/edgar/data/1603015/000160301526000027/viaq226pressrelease.htm</t>
  </si>
  <si>
    <t xml:space="preserve">S8</t>
  </si>
  <si>
    <t xml:space="preserve">Bleecker Street Research, 'Via Transportation (VIA): Road to Nowhere' (Dec 16, 2025)</t>
  </si>
  <si>
    <t xml:space="preserve">https://www.bleeckerstreetresearch.com/research/via</t>
  </si>
  <si>
    <t xml:space="preserve">S9</t>
  </si>
  <si>
    <t xml:space="preserve">Yahoo Finance / Insider Monkey summary of Bleecker bear case</t>
  </si>
  <si>
    <t xml:space="preserve">https://finance.yahoo.com/news/via-transportation-inc-via-bear-133548863.html</t>
  </si>
  <si>
    <t xml:space="preserve">S10</t>
  </si>
  <si>
    <t xml:space="preserve">Investing.com: stock falls after short report</t>
  </si>
  <si>
    <t xml:space="preserve">https://www.investing.com/news/stock-market-news/via-transportation-stock-falls-after-short-seller-questions-business-model-93CH-4552465</t>
  </si>
  <si>
    <t xml:space="preserve">Plano council item ($3,952,247, 6 months + three 1-yr renewals)</t>
  </si>
  <si>
    <t xml:space="preserve">https://content.civicplus.com/api/assets/tx-plano/a163970f-6ef0-4df2-80fa-dfefc1bc37be</t>
  </si>
  <si>
    <t xml:space="preserve">Branch Herald: Addison approves Via ($872,231, 6 months)</t>
  </si>
  <si>
    <t xml:space="preserve">https://www.branchherald.com/stories/addison-approves-contract-with-via-for-mobility-services,81030</t>
  </si>
  <si>
    <t xml:space="preserve">People Newspapers: Highland Park microtransit/paratransit ($1.55M FY26 budget amendment)</t>
  </si>
  <si>
    <t xml:space="preserve">https://www.peoplenewspapers.com/news/2026/05/microtransit-and-paratransit-get-rolling-in-highland-park/</t>
  </si>
  <si>
    <t xml:space="preserve">People Newspapers: University Park cancels Via agreement</t>
  </si>
  <si>
    <t xml:space="preserve">https://www.peoplenewspapers.com/news/2026/05/up-cancels-alternate-paratransit-agreement-following-dart-vote/</t>
  </si>
  <si>
    <t xml:space="preserve">NJ TRANSIT press release: MicroLink pilot (Bergen: Via-operated; Monmouth: NJT-operated on Via software)</t>
  </si>
  <si>
    <t xml:space="preserve">https://www.njtransit.com/press-releases/nj-transit-pilot-microtransit-shuttle-service-monmouth-and-bergen-counties</t>
  </si>
  <si>
    <t xml:space="preserve">Union County NJ press release (River North Transit, turnkey)</t>
  </si>
  <si>
    <t xml:space="preserve">https://ucnj.org/press-releases/public-info/2026/06/01/union-county-announces-new-on-demand-micro-transit-pilot-program-to-expand-transportation-access/</t>
  </si>
  <si>
    <t xml:space="preserve">Colorado Politics: DougCo approves $2M Link On Demand expansion (River North Transit, $1,991,720)</t>
  </si>
  <si>
    <t xml:space="preserve">https://www.coloradopolitics.com/2026/07/14/dougco-approves-2m-rideshare-expansion-to-castle-rock/</t>
  </si>
  <si>
    <t xml:space="preserve">East Cobb News: Cobb approves microtransit expansion ($6.3M)</t>
  </si>
  <si>
    <t xml:space="preserve">https://eastcobbnews.com/cobb-approves-josh-traffic-project-microtransit-expansion/</t>
  </si>
  <si>
    <t xml:space="preserve">Hudson County View: Jersey City cutting Via hours, ~$4M savings</t>
  </si>
  <si>
    <t xml:space="preserve">http://hudsoncountyview.com/jersey-city-cutting-via-weekday-hours-saturday-service-claims-4m-savings/</t>
  </si>
  <si>
    <t xml:space="preserve">Via / BusinessWire: TCATA selects Via (turnkey network, ops from Apr 1, 2026)</t>
  </si>
  <si>
    <t xml:space="preserve">https://www.businesswire.com/news/home/20260122315817/en/TCATA-Selects-Via-to-Modernize-and-Revitalize-the-Twin-Cities-Public-Transit-Network</t>
  </si>
  <si>
    <t xml:space="preserve">S21</t>
  </si>
  <si>
    <t xml:space="preserve">Q1 2026 earnings call: four network deals &gt;$40M ACV YTD 2026</t>
  </si>
  <si>
    <t xml:space="preserve">https://www.fool.com/earnings/call-transcripts/2026/05/12/via-via-q1-2026-earnings-call-transcript/</t>
  </si>
  <si>
    <t xml:space="preserve">Citizen Portal: Garner NC 60-day feasibility contract with Via</t>
  </si>
  <si>
    <t xml:space="preserve">https://citizenportal.ai/articles/8927043/north-carolina/wake-county/garner/garner-to-study-microtransit-with-60day-feasibility-contract-with-via</t>
  </si>
  <si>
    <t xml:space="preserve">Chronicle-Telegram: Lorain County ViaLC extension ($2.2M, through Jul 2026)</t>
  </si>
  <si>
    <t xml:space="preserve">https://chroniclet.com/news/435879/lorain-county-to-continue-vialc-microtransit-program-in-lorain-elyria-into-2026/</t>
  </si>
  <si>
    <t xml:space="preserve">S24</t>
  </si>
  <si>
    <t xml:space="preserve">LA Metro board report 2024-0989 (Nomad Transit IDIQ)</t>
  </si>
  <si>
    <t xml:space="preserve">https://datamade-metro-pdf-merger.s3.amazonaws.com/2024-0989.pdf</t>
  </si>
  <si>
    <t xml:space="preserve">UK Contracts Finder: TfL Dial-a-Ride software, £2,307,950, Dec 2022–Dec 2027</t>
  </si>
  <si>
    <t xml:space="preserve">https://www.contractsfinder.service.gov.uk/Notice/eba395d5-84f0-449e-8e22-be61afd32fe4</t>
  </si>
  <si>
    <t xml:space="preserve">User research notes (VIA_1.pdf): Arlington, DCTA, King County, Mobile, New Braunfels, Miami-Dade, Gastonia, Passaic, Q4'25 Texas example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</si>
</sst>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\$#,##0.0;&quot;($&quot;#,##0.0\);\-"/>
    <numFmt numFmtId="167" formatCode="\$#,##0.00;&quot;($&quot;#,##0.00\);\-"/>
    <numFmt numFmtId="168" formatCode="0"/>
    <numFmt numFmtId="169" formatCode="\+0.0%;\-0.0%;0.0%"/>
    <numFmt numFmtId="170" formatCode="#,##0"/>
    <numFmt numFmtId="171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Margin_Decomp!I22</f>
        <v>0.514369933677229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f aca="false">Margin_Decomp!I16</f>
        <v>0.692043157039473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f aca="false">Margin_Decomp!I19</f>
        <v>0.836084182108234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f aca="false">Margin_Decomp!I25</f>
        <v>0.250286579873905</v>
      </c>
      <c r="C8" s="6" t="s">
        <v>10</v>
      </c>
    </row>
    <row r="9" customFormat="false" ht="15" hidden="false" customHeight="false" outlineLevel="0" collapsed="false">
      <c r="A9" s="4" t="s">
        <v>11</v>
      </c>
      <c r="B9" s="5" t="n">
        <f aca="false">Blended_Formula!C8</f>
        <v>0.709586655054599</v>
      </c>
      <c r="C9" s="6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14</v>
      </c>
      <c r="B12" s="5" t="n">
        <f aca="false">Updated_Mix!C6</f>
        <v>0.72</v>
      </c>
      <c r="C12" s="6" t="s">
        <v>15</v>
      </c>
    </row>
    <row r="13" customFormat="false" ht="15" hidden="false" customHeight="false" outlineLevel="0" collapsed="false">
      <c r="A13" s="4" t="s">
        <v>16</v>
      </c>
      <c r="B13" s="5" t="n">
        <f aca="false">Updated_Mix!D24</f>
        <v>0.726478511217878</v>
      </c>
      <c r="C13" s="6" t="s">
        <v>17</v>
      </c>
    </row>
    <row r="14" customFormat="false" ht="15" hidden="false" customHeight="false" outlineLevel="0" collapsed="false">
      <c r="A14" s="4" t="s">
        <v>18</v>
      </c>
      <c r="B14" s="5" t="n">
        <f aca="false">Updated_Mix!D33</f>
        <v>0.740837110358603</v>
      </c>
      <c r="C14" s="6" t="s">
        <v>19</v>
      </c>
    </row>
    <row r="15" customFormat="false" ht="15" hidden="false" customHeight="false" outlineLevel="0" collapsed="false">
      <c r="A15" s="4" t="s">
        <v>20</v>
      </c>
      <c r="B15" s="5" t="n">
        <f aca="false">Updated_Mix!D44</f>
        <v>0.740030725009208</v>
      </c>
      <c r="C15" s="6" t="s">
        <v>21</v>
      </c>
    </row>
    <row r="17" customFormat="false" ht="15" hidden="false" customHeight="false" outlineLevel="0" collapsed="false">
      <c r="A17" s="3" t="s">
        <v>22</v>
      </c>
    </row>
    <row r="18" customFormat="false" ht="42" hidden="false" customHeight="true" outlineLevel="0" collapsed="false">
      <c r="A18" s="7" t="s">
        <v>23</v>
      </c>
      <c r="B18" s="7"/>
      <c r="C18" s="7"/>
    </row>
    <row r="19" customFormat="false" ht="42" hidden="false" customHeight="true" outlineLevel="0" collapsed="false">
      <c r="A19" s="7" t="s">
        <v>24</v>
      </c>
      <c r="B19" s="7"/>
      <c r="C19" s="7"/>
    </row>
    <row r="20" customFormat="false" ht="42" hidden="false" customHeight="true" outlineLevel="0" collapsed="false">
      <c r="A20" s="7" t="s">
        <v>25</v>
      </c>
      <c r="B20" s="7"/>
      <c r="C20" s="7"/>
    </row>
    <row r="21" customFormat="false" ht="42" hidden="false" customHeight="true" outlineLevel="0" collapsed="false">
      <c r="A21" s="7" t="s">
        <v>26</v>
      </c>
      <c r="B21" s="7"/>
      <c r="C21" s="7"/>
    </row>
  </sheetData>
  <mergeCells count="4">
    <mergeCell ref="A18:C18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7" min="5" style="0" width="13"/>
    <col collapsed="false" customWidth="true" hidden="false" outlineLevel="0" max="8" min="8" style="0" width="11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23.85" hidden="false" customHeight="false" outlineLevel="0" collapsed="false">
      <c r="A4" s="8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</row>
    <row r="5" customFormat="false" ht="15" hidden="false" customHeight="false" outlineLevel="0" collapsed="false">
      <c r="A5" s="9" t="s">
        <v>38</v>
      </c>
      <c r="B5" s="10" t="n">
        <v>337.6</v>
      </c>
      <c r="C5" s="10" t="n">
        <v>167.7</v>
      </c>
      <c r="D5" s="10" t="n">
        <v>24.3</v>
      </c>
      <c r="E5" s="10" t="n">
        <v>14.8</v>
      </c>
      <c r="F5" s="11" t="n">
        <f aca="false">C5+D5+E5</f>
        <v>206.8</v>
      </c>
      <c r="G5" s="11" t="n">
        <f aca="false">B5-F5</f>
        <v>130.8</v>
      </c>
      <c r="H5" s="12" t="n">
        <f aca="false">IF(B5=0,0,G5/B5)</f>
        <v>0.387440758293839</v>
      </c>
      <c r="I5" s="13" t="s">
        <v>39</v>
      </c>
    </row>
    <row r="6" customFormat="false" ht="15" hidden="false" customHeight="false" outlineLevel="0" collapsed="false">
      <c r="A6" s="9" t="s">
        <v>40</v>
      </c>
      <c r="B6" s="10" t="n">
        <v>205.775</v>
      </c>
      <c r="C6" s="10" t="n">
        <v>105</v>
      </c>
      <c r="D6" s="10" t="n">
        <v>12.3</v>
      </c>
      <c r="E6" s="10" t="n">
        <v>6.7</v>
      </c>
      <c r="F6" s="11" t="n">
        <f aca="false">C6+D6+E6</f>
        <v>124</v>
      </c>
      <c r="G6" s="11" t="n">
        <f aca="false">B6-F6</f>
        <v>81.775</v>
      </c>
      <c r="H6" s="12" t="n">
        <f aca="false">IF(B6=0,0,G6/B6)</f>
        <v>0.397400072895153</v>
      </c>
      <c r="I6" s="13" t="s">
        <v>41</v>
      </c>
    </row>
    <row r="7" customFormat="false" ht="15" hidden="false" customHeight="false" outlineLevel="0" collapsed="false">
      <c r="A7" s="9" t="s">
        <v>42</v>
      </c>
      <c r="B7" s="10" t="n">
        <v>109.653</v>
      </c>
      <c r="C7" s="10" t="n">
        <v>57.1</v>
      </c>
      <c r="D7" s="10" t="n">
        <v>6.3</v>
      </c>
      <c r="E7" s="10" t="n">
        <v>3.2</v>
      </c>
      <c r="F7" s="11" t="n">
        <f aca="false">C7+D7+E7</f>
        <v>66.6</v>
      </c>
      <c r="G7" s="11" t="n">
        <f aca="false">B7-F7</f>
        <v>43.053</v>
      </c>
      <c r="H7" s="12" t="n">
        <f aca="false">IF(B7=0,0,G7/B7)</f>
        <v>0.392629476621707</v>
      </c>
      <c r="I7" s="13" t="s">
        <v>43</v>
      </c>
    </row>
    <row r="8" customFormat="false" ht="15" hidden="false" customHeight="false" outlineLevel="0" collapsed="false">
      <c r="A8" s="9" t="s">
        <v>44</v>
      </c>
      <c r="B8" s="11" t="n">
        <f aca="false">B9-B6-B7</f>
        <v>118.909</v>
      </c>
      <c r="C8" s="11" t="n">
        <f aca="false">C9-C6-C7</f>
        <v>61.4</v>
      </c>
      <c r="D8" s="11" t="n">
        <f aca="false">D9-D6-D7</f>
        <v>7.2</v>
      </c>
      <c r="E8" s="11" t="n">
        <f aca="false">E9-E6-E7</f>
        <v>3.4</v>
      </c>
      <c r="F8" s="11" t="n">
        <f aca="false">C8+D8+E8</f>
        <v>72</v>
      </c>
      <c r="G8" s="11" t="n">
        <f aca="false">B8-F8</f>
        <v>46.909</v>
      </c>
      <c r="H8" s="12" t="n">
        <f aca="false">IF(B8=0,0,G8/B8)</f>
        <v>0.394494949919686</v>
      </c>
      <c r="I8" s="13" t="s">
        <v>45</v>
      </c>
    </row>
    <row r="9" customFormat="false" ht="15" hidden="false" customHeight="false" outlineLevel="0" collapsed="false">
      <c r="A9" s="9" t="s">
        <v>46</v>
      </c>
      <c r="B9" s="10" t="n">
        <v>434.337</v>
      </c>
      <c r="C9" s="10" t="n">
        <v>223.5</v>
      </c>
      <c r="D9" s="10" t="n">
        <v>25.8</v>
      </c>
      <c r="E9" s="10" t="n">
        <v>13.3</v>
      </c>
      <c r="F9" s="11" t="n">
        <f aca="false">C9+D9+E9</f>
        <v>262.6</v>
      </c>
      <c r="G9" s="11" t="n">
        <f aca="false">B9-F9</f>
        <v>171.737</v>
      </c>
      <c r="H9" s="12" t="n">
        <f aca="false">IF(B9=0,0,G9/B9)</f>
        <v>0.395400345814425</v>
      </c>
      <c r="I9" s="13" t="s">
        <v>47</v>
      </c>
    </row>
    <row r="10" customFormat="false" ht="15" hidden="false" customHeight="false" outlineLevel="0" collapsed="false">
      <c r="A10" s="9" t="s">
        <v>48</v>
      </c>
      <c r="B10" s="10" t="n">
        <v>127.43</v>
      </c>
      <c r="C10" s="10" t="n">
        <v>66.8</v>
      </c>
      <c r="D10" s="10" t="n">
        <v>7.3</v>
      </c>
      <c r="E10" s="10" t="n">
        <v>3.3</v>
      </c>
      <c r="F10" s="11" t="n">
        <f aca="false">C10+D10+E10</f>
        <v>77.4</v>
      </c>
      <c r="G10" s="11" t="n">
        <f aca="false">B10-F10</f>
        <v>50.03</v>
      </c>
      <c r="H10" s="12" t="n">
        <f aca="false">IF(B10=0,0,G10/B10)</f>
        <v>0.392607706191635</v>
      </c>
      <c r="I10" s="13" t="s">
        <v>49</v>
      </c>
    </row>
    <row r="11" customFormat="false" ht="15" hidden="false" customHeight="false" outlineLevel="0" collapsed="false">
      <c r="A11" s="9" t="s">
        <v>50</v>
      </c>
      <c r="B11" s="10" t="n">
        <v>135.7</v>
      </c>
      <c r="C11" s="10" t="n">
        <v>69.8</v>
      </c>
      <c r="D11" s="10" t="n">
        <v>6.9</v>
      </c>
      <c r="E11" s="10" t="n">
        <v>3.4</v>
      </c>
      <c r="F11" s="11" t="n">
        <f aca="false">C11+D11+E11</f>
        <v>80.1</v>
      </c>
      <c r="G11" s="11" t="n">
        <f aca="false">B11-F11</f>
        <v>55.6</v>
      </c>
      <c r="H11" s="12" t="n">
        <f aca="false">IF(B11=0,0,G11/B11)</f>
        <v>0.40972733971997</v>
      </c>
      <c r="I11" s="13" t="s">
        <v>51</v>
      </c>
    </row>
    <row r="13" customFormat="false" ht="15" hidden="false" customHeight="false" outlineLevel="0" collapsed="false">
      <c r="A13" s="9" t="s">
        <v>52</v>
      </c>
      <c r="B13" s="10" t="n">
        <v>80.1</v>
      </c>
      <c r="C13" s="11" t="n">
        <f aca="false">F11-B13</f>
        <v>0</v>
      </c>
      <c r="D13" s="6" t="s">
        <v>53</v>
      </c>
    </row>
    <row r="14" customFormat="false" ht="15" hidden="false" customHeight="false" outlineLevel="0" collapsed="false">
      <c r="A14" s="9" t="s">
        <v>54</v>
      </c>
      <c r="B14" s="10" t="n">
        <v>77.4</v>
      </c>
      <c r="C14" s="11" t="n">
        <f aca="false">F10-B14</f>
        <v>0</v>
      </c>
    </row>
    <row r="15" customFormat="false" ht="15" hidden="false" customHeight="false" outlineLevel="0" collapsed="false">
      <c r="A15" s="9" t="s">
        <v>55</v>
      </c>
      <c r="B15" s="10" t="n">
        <v>66.567</v>
      </c>
      <c r="C15" s="11" t="n">
        <f aca="false">F7-B15</f>
        <v>0.0330000000000013</v>
      </c>
    </row>
    <row r="17" customFormat="false" ht="27.75" hidden="false" customHeight="true" outlineLevel="0" collapsed="false">
      <c r="A17" s="14" t="s">
        <v>56</v>
      </c>
      <c r="B17" s="14"/>
      <c r="C17" s="14"/>
      <c r="D17" s="14"/>
      <c r="E17" s="14"/>
      <c r="F17" s="14"/>
      <c r="G17" s="14"/>
      <c r="H17" s="14"/>
      <c r="I17" s="14"/>
    </row>
  </sheetData>
  <mergeCells count="1"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9" min="3" style="0" width="12"/>
  </cols>
  <sheetData>
    <row r="1" customFormat="false" ht="17.35" hidden="false" customHeight="false" outlineLevel="0" collapsed="false">
      <c r="B1" s="1" t="s">
        <v>57</v>
      </c>
    </row>
    <row r="2" customFormat="false" ht="30" hidden="false" customHeight="true" outlineLevel="0" collapsed="false">
      <c r="B2" s="15" t="s">
        <v>58</v>
      </c>
      <c r="C2" s="15"/>
      <c r="D2" s="15"/>
      <c r="E2" s="15"/>
      <c r="F2" s="15"/>
      <c r="G2" s="15"/>
      <c r="H2" s="15"/>
      <c r="I2" s="15"/>
    </row>
    <row r="4" customFormat="false" ht="15" hidden="false" customHeight="false" outlineLevel="0" collapsed="false">
      <c r="B4" s="3" t="s">
        <v>59</v>
      </c>
    </row>
    <row r="5" customFormat="false" ht="15" hidden="false" customHeight="false" outlineLevel="0" collapsed="false">
      <c r="B5" s="4" t="s">
        <v>60</v>
      </c>
      <c r="C5" s="16" t="n">
        <v>0.22</v>
      </c>
    </row>
    <row r="6" customFormat="false" ht="15" hidden="false" customHeight="false" outlineLevel="0" collapsed="false">
      <c r="B6" s="4" t="s">
        <v>61</v>
      </c>
      <c r="C6" s="16" t="n">
        <v>0.5</v>
      </c>
    </row>
    <row r="7" customFormat="false" ht="15" hidden="false" customHeight="false" outlineLevel="0" collapsed="false">
      <c r="B7" s="4" t="s">
        <v>62</v>
      </c>
      <c r="C7" s="16" t="n">
        <v>0</v>
      </c>
    </row>
    <row r="8" customFormat="false" ht="15" hidden="false" customHeight="false" outlineLevel="0" collapsed="false">
      <c r="B8" s="4" t="s">
        <v>63</v>
      </c>
      <c r="C8" s="17" t="n">
        <v>0.72</v>
      </c>
    </row>
    <row r="10" customFormat="false" ht="15" hidden="false" customHeight="false" outlineLevel="0" collapsed="false">
      <c r="A10" s="8"/>
      <c r="B10" s="8" t="s">
        <v>64</v>
      </c>
      <c r="C10" s="8" t="s">
        <v>38</v>
      </c>
      <c r="D10" s="8" t="s">
        <v>40</v>
      </c>
      <c r="E10" s="8" t="s">
        <v>42</v>
      </c>
      <c r="F10" s="8" t="s">
        <v>44</v>
      </c>
      <c r="G10" s="8" t="s">
        <v>46</v>
      </c>
      <c r="H10" s="8" t="s">
        <v>48</v>
      </c>
      <c r="I10" s="8" t="s">
        <v>50</v>
      </c>
    </row>
    <row r="11" customFormat="false" ht="15" hidden="false" customHeight="false" outlineLevel="0" collapsed="false">
      <c r="B11" s="4" t="s">
        <v>30</v>
      </c>
      <c r="C11" s="18" t="n">
        <f aca="false">Margin_Inputs!B5</f>
        <v>337.6</v>
      </c>
      <c r="D11" s="18" t="n">
        <f aca="false">Margin_Inputs!B6</f>
        <v>205.775</v>
      </c>
      <c r="E11" s="18" t="n">
        <f aca="false">Margin_Inputs!B7</f>
        <v>109.653</v>
      </c>
      <c r="F11" s="18" t="n">
        <f aca="false">Margin_Inputs!B8</f>
        <v>118.909</v>
      </c>
      <c r="G11" s="18" t="n">
        <f aca="false">Margin_Inputs!B9</f>
        <v>434.337</v>
      </c>
      <c r="H11" s="18" t="n">
        <f aca="false">Margin_Inputs!B10</f>
        <v>127.43</v>
      </c>
      <c r="I11" s="18" t="n">
        <f aca="false">Margin_Inputs!B11</f>
        <v>135.7</v>
      </c>
    </row>
    <row r="12" customFormat="false" ht="15" hidden="false" customHeight="false" outlineLevel="0" collapsed="false">
      <c r="B12" s="4" t="s">
        <v>31</v>
      </c>
      <c r="C12" s="18" t="n">
        <f aca="false">Margin_Inputs!C5</f>
        <v>167.7</v>
      </c>
      <c r="D12" s="18" t="n">
        <f aca="false">Margin_Inputs!C6</f>
        <v>105</v>
      </c>
      <c r="E12" s="18" t="n">
        <f aca="false">Margin_Inputs!C7</f>
        <v>57.1</v>
      </c>
      <c r="F12" s="18" t="n">
        <f aca="false">Margin_Inputs!C8</f>
        <v>61.4</v>
      </c>
      <c r="G12" s="18" t="n">
        <f aca="false">Margin_Inputs!C9</f>
        <v>223.5</v>
      </c>
      <c r="H12" s="18" t="n">
        <f aca="false">Margin_Inputs!C10</f>
        <v>66.8</v>
      </c>
      <c r="I12" s="18" t="n">
        <f aca="false">Margin_Inputs!C11</f>
        <v>69.8</v>
      </c>
    </row>
    <row r="13" customFormat="false" ht="15" hidden="false" customHeight="false" outlineLevel="0" collapsed="false">
      <c r="B13" s="4" t="s">
        <v>65</v>
      </c>
      <c r="C13" s="11" t="n">
        <f aca="false">C12+$C$6*Margin_Inputs!D5+$C$7*C11</f>
        <v>179.85</v>
      </c>
      <c r="D13" s="11" t="n">
        <f aca="false">D12+$C$6*Margin_Inputs!D6+$C$7*D11</f>
        <v>111.15</v>
      </c>
      <c r="E13" s="11" t="n">
        <f aca="false">E12+$C$6*Margin_Inputs!D7+$C$7*E11</f>
        <v>60.25</v>
      </c>
      <c r="F13" s="11" t="n">
        <f aca="false">F12+$C$6*Margin_Inputs!D8+$C$7*F11</f>
        <v>65</v>
      </c>
      <c r="G13" s="11" t="n">
        <f aca="false">G12+$C$6*Margin_Inputs!D9+$C$7*G11</f>
        <v>236.4</v>
      </c>
      <c r="H13" s="11" t="n">
        <f aca="false">H12+$C$6*Margin_Inputs!D10+$C$7*H11</f>
        <v>70.45</v>
      </c>
      <c r="I13" s="11" t="n">
        <f aca="false">I12+$C$6*Margin_Inputs!D11+$C$7*I11</f>
        <v>73.25</v>
      </c>
    </row>
    <row r="14" customFormat="false" ht="15" hidden="false" customHeight="false" outlineLevel="0" collapsed="false">
      <c r="B14" s="4" t="s">
        <v>66</v>
      </c>
      <c r="C14" s="11" t="n">
        <f aca="false">Margin_Inputs!E5+(1-$C$6)*Margin_Inputs!D5</f>
        <v>26.95</v>
      </c>
      <c r="D14" s="11" t="n">
        <f aca="false">Margin_Inputs!E6+(1-$C$6)*Margin_Inputs!D6</f>
        <v>12.85</v>
      </c>
      <c r="E14" s="11" t="n">
        <f aca="false">Margin_Inputs!E7+(1-$C$6)*Margin_Inputs!D7</f>
        <v>6.35</v>
      </c>
      <c r="F14" s="11" t="n">
        <f aca="false">Margin_Inputs!E8+(1-$C$6)*Margin_Inputs!D8</f>
        <v>7</v>
      </c>
      <c r="G14" s="11" t="n">
        <f aca="false">Margin_Inputs!E9+(1-$C$6)*Margin_Inputs!D9</f>
        <v>26.2</v>
      </c>
      <c r="H14" s="11" t="n">
        <f aca="false">Margin_Inputs!E10+(1-$C$6)*Margin_Inputs!D10</f>
        <v>6.95</v>
      </c>
      <c r="I14" s="11" t="n">
        <f aca="false">Margin_Inputs!E11+(1-$C$6)*Margin_Inputs!D11</f>
        <v>6.85</v>
      </c>
    </row>
    <row r="15" customFormat="false" ht="15" hidden="false" customHeight="false" outlineLevel="0" collapsed="false">
      <c r="B15" s="4" t="s">
        <v>67</v>
      </c>
      <c r="C15" s="11" t="n">
        <f aca="false">C13/(1-$C$5)</f>
        <v>230.576923076923</v>
      </c>
      <c r="D15" s="11" t="n">
        <f aca="false">D13/(1-$C$5)</f>
        <v>142.5</v>
      </c>
      <c r="E15" s="11" t="n">
        <f aca="false">E13/(1-$C$5)</f>
        <v>77.2435897435897</v>
      </c>
      <c r="F15" s="11" t="n">
        <f aca="false">F13/(1-$C$5)</f>
        <v>83.3333333333333</v>
      </c>
      <c r="G15" s="11" t="n">
        <f aca="false">G13/(1-$C$5)</f>
        <v>303.076923076923</v>
      </c>
      <c r="H15" s="11" t="n">
        <f aca="false">H13/(1-$C$5)</f>
        <v>90.3205128205128</v>
      </c>
      <c r="I15" s="11" t="n">
        <f aca="false">I13/(1-$C$5)</f>
        <v>93.9102564102564</v>
      </c>
    </row>
    <row r="16" customFormat="false" ht="15" hidden="false" customHeight="false" outlineLevel="0" collapsed="false">
      <c r="B16" s="9" t="s">
        <v>68</v>
      </c>
      <c r="C16" s="12" t="n">
        <f aca="false">IF(C11=0,0,C15/C11)</f>
        <v>0.682988516223113</v>
      </c>
      <c r="D16" s="12" t="n">
        <f aca="false">IF(D11=0,0,D15/D11)</f>
        <v>0.692503948487426</v>
      </c>
      <c r="E16" s="12" t="n">
        <f aca="false">IF(E11=0,0,E15/E11)</f>
        <v>0.704436629582316</v>
      </c>
      <c r="F16" s="12" t="n">
        <f aca="false">IF(F11=0,0,F15/F11)</f>
        <v>0.700816030185548</v>
      </c>
      <c r="G16" s="12" t="n">
        <f aca="false">IF(G11=0,0,G15/G11)</f>
        <v>0.697792090190159</v>
      </c>
      <c r="H16" s="12" t="n">
        <f aca="false">IF(H11=0,0,H15/H11)</f>
        <v>0.708785316020661</v>
      </c>
      <c r="I16" s="12" t="n">
        <f aca="false">IF(I11=0,0,I15/I11)</f>
        <v>0.692043157039473</v>
      </c>
    </row>
    <row r="17" customFormat="false" ht="15" hidden="false" customHeight="false" outlineLevel="0" collapsed="false">
      <c r="B17" s="4" t="s">
        <v>69</v>
      </c>
      <c r="C17" s="11" t="n">
        <f aca="false">C11-C15</f>
        <v>107.023076923077</v>
      </c>
      <c r="D17" s="11" t="n">
        <f aca="false">D11-D15</f>
        <v>63.275</v>
      </c>
      <c r="E17" s="11" t="n">
        <f aca="false">E11-E15</f>
        <v>32.4094102564103</v>
      </c>
      <c r="F17" s="11" t="n">
        <f aca="false">F11-F15</f>
        <v>35.5756666666667</v>
      </c>
      <c r="G17" s="11" t="n">
        <f aca="false">G11-G15</f>
        <v>131.260076923077</v>
      </c>
      <c r="H17" s="11" t="n">
        <f aca="false">H11-H15</f>
        <v>37.1094871794872</v>
      </c>
      <c r="I17" s="11" t="n">
        <f aca="false">I11-I15</f>
        <v>41.7897435897436</v>
      </c>
    </row>
    <row r="18" customFormat="false" ht="15" hidden="false" customHeight="false" outlineLevel="0" collapsed="false">
      <c r="B18" s="4" t="s">
        <v>70</v>
      </c>
      <c r="C18" s="12" t="n">
        <f aca="false">1-C16</f>
        <v>0.317011483776887</v>
      </c>
      <c r="D18" s="12" t="n">
        <f aca="false">1-D16</f>
        <v>0.307496051512574</v>
      </c>
      <c r="E18" s="12" t="n">
        <f aca="false">1-E16</f>
        <v>0.295563370417684</v>
      </c>
      <c r="F18" s="12" t="n">
        <f aca="false">1-F16</f>
        <v>0.299183969814452</v>
      </c>
      <c r="G18" s="12" t="n">
        <f aca="false">1-G16</f>
        <v>0.302207909809841</v>
      </c>
      <c r="H18" s="12" t="n">
        <f aca="false">1-H16</f>
        <v>0.291214683979339</v>
      </c>
      <c r="I18" s="12" t="n">
        <f aca="false">1-I16</f>
        <v>0.307956842960528</v>
      </c>
    </row>
    <row r="19" customFormat="false" ht="15" hidden="false" customHeight="false" outlineLevel="0" collapsed="false">
      <c r="B19" s="9" t="s">
        <v>71</v>
      </c>
      <c r="C19" s="12" t="n">
        <f aca="false">IF(C17&lt;=0,0,(C17-C14)/C17)</f>
        <v>0.748185150578596</v>
      </c>
      <c r="D19" s="12" t="n">
        <f aca="false">IF(D17&lt;=0,0,(D17-D14)/D17)</f>
        <v>0.796918214144607</v>
      </c>
      <c r="E19" s="12" t="n">
        <f aca="false">IF(E17&lt;=0,0,(E17-E14)/E17)</f>
        <v>0.804069251807998</v>
      </c>
      <c r="F19" s="12" t="n">
        <f aca="false">IF(F17&lt;=0,0,(F17-F14)/F17)</f>
        <v>0.80323629447094</v>
      </c>
      <c r="G19" s="12" t="n">
        <f aca="false">IF(G17&lt;=0,0,(G17-G14)/G17)</f>
        <v>0.800396277267504</v>
      </c>
      <c r="H19" s="12" t="n">
        <f aca="false">IF(H17&lt;=0,0,(H17-H14)/H17)</f>
        <v>0.812716355621273</v>
      </c>
      <c r="I19" s="12" t="n">
        <f aca="false">IF(I17&lt;=0,0,(I17-I14)/I17)</f>
        <v>0.836084182108234</v>
      </c>
    </row>
    <row r="20" customFormat="false" ht="15" hidden="false" customHeight="false" outlineLevel="0" collapsed="false">
      <c r="B20" s="4" t="s">
        <v>72</v>
      </c>
      <c r="C20" s="12" t="n">
        <f aca="false">(C11-C13-C14)/C11+$C$7</f>
        <v>0.387440758293839</v>
      </c>
      <c r="D20" s="12" t="n">
        <f aca="false">(D11-D13-D14)/D11+$C$7</f>
        <v>0.397400072895153</v>
      </c>
      <c r="E20" s="12" t="n">
        <f aca="false">(E11-E13-E14)/E11+$C$7</f>
        <v>0.392629476621707</v>
      </c>
      <c r="F20" s="12" t="n">
        <f aca="false">(F11-F13-F14)/F11+$C$7</f>
        <v>0.394494949919686</v>
      </c>
      <c r="G20" s="12" t="n">
        <f aca="false">(G11-G13-G14)/G11+$C$7</f>
        <v>0.395400345814425</v>
      </c>
      <c r="H20" s="12" t="n">
        <f aca="false">(H11-H13-H14)/H11+$C$7</f>
        <v>0.392607706191635</v>
      </c>
      <c r="I20" s="12" t="n">
        <f aca="false">(I11-I13-I14)/I11+$C$7</f>
        <v>0.40972733971997</v>
      </c>
    </row>
    <row r="22" customFormat="false" ht="15" hidden="false" customHeight="false" outlineLevel="0" collapsed="false">
      <c r="B22" s="9" t="s">
        <v>73</v>
      </c>
      <c r="C22" s="12" t="n">
        <f aca="false">C12/C11</f>
        <v>0.496741706161137</v>
      </c>
      <c r="D22" s="12" t="n">
        <f aca="false">D12/D11</f>
        <v>0.510266067306524</v>
      </c>
      <c r="E22" s="12" t="n">
        <f aca="false">E12/E11</f>
        <v>0.520733586860369</v>
      </c>
      <c r="F22" s="12" t="n">
        <f aca="false">F12/F11</f>
        <v>0.516361251040712</v>
      </c>
      <c r="G22" s="12" t="n">
        <f aca="false">G12/G11</f>
        <v>0.514577390367388</v>
      </c>
      <c r="H22" s="12" t="n">
        <f aca="false">H12/H11</f>
        <v>0.524209369850114</v>
      </c>
      <c r="I22" s="12" t="n">
        <f aca="false">I12/I11</f>
        <v>0.514369933677229</v>
      </c>
    </row>
    <row r="23" customFormat="false" ht="15" hidden="false" customHeight="false" outlineLevel="0" collapsed="false">
      <c r="B23" s="4" t="s">
        <v>74</v>
      </c>
      <c r="C23" s="12" t="n">
        <f aca="false">(C13/(1-0.15))/C11</f>
        <v>0.626742403122386</v>
      </c>
      <c r="D23" s="12" t="n">
        <f aca="false">(D13/(1-0.15))/D11</f>
        <v>0.635474211553167</v>
      </c>
      <c r="E23" s="12" t="n">
        <f aca="false">(E13/(1-0.15))/E11</f>
        <v>0.646424201263773</v>
      </c>
      <c r="F23" s="12" t="n">
        <f aca="false">(F13/(1-0.15))/F11</f>
        <v>0.64310176887615</v>
      </c>
      <c r="G23" s="12" t="n">
        <f aca="false">(G13/(1-0.15))/G11</f>
        <v>0.640326859233322</v>
      </c>
      <c r="H23" s="12" t="n">
        <f aca="false">(H13/(1-0.15))/H11</f>
        <v>0.650414760583665</v>
      </c>
      <c r="I23" s="12" t="n">
        <f aca="false">(I13/(1-0.15))/I11</f>
        <v>0.635051367636222</v>
      </c>
    </row>
    <row r="24" customFormat="false" ht="15" hidden="false" customHeight="false" outlineLevel="0" collapsed="false">
      <c r="B24" s="4" t="s">
        <v>75</v>
      </c>
      <c r="C24" s="12" t="n">
        <f aca="false">(C13/(1-0.3))/C11</f>
        <v>0.761044346648612</v>
      </c>
      <c r="D24" s="12" t="n">
        <f aca="false">(D13/(1-0.3))/D11</f>
        <v>0.771647256885989</v>
      </c>
      <c r="E24" s="12" t="n">
        <f aca="false">(E13/(1-0.3))/E11</f>
        <v>0.784943672963153</v>
      </c>
      <c r="F24" s="12" t="n">
        <f aca="false">(F13/(1-0.3))/F11</f>
        <v>0.780909290778182</v>
      </c>
      <c r="G24" s="12" t="n">
        <f aca="false">(G13/(1-0.3))/G11</f>
        <v>0.777539757640463</v>
      </c>
      <c r="H24" s="12" t="n">
        <f aca="false">(H13/(1-0.3))/H11</f>
        <v>0.789789352137308</v>
      </c>
      <c r="I24" s="12" t="n">
        <f aca="false">(I13/(1-0.3))/I11</f>
        <v>0.771133803558269</v>
      </c>
    </row>
    <row r="25" customFormat="false" ht="15" hidden="false" customHeight="false" outlineLevel="0" collapsed="false">
      <c r="B25" s="9" t="s">
        <v>76</v>
      </c>
      <c r="C25" s="12" t="n">
        <f aca="false">1-C13/($C$8*C11)</f>
        <v>0.260095774091627</v>
      </c>
      <c r="D25" s="12" t="n">
        <f aca="false">1-D13/($C$8*D11)</f>
        <v>0.249787389138622</v>
      </c>
      <c r="E25" s="12" t="n">
        <f aca="false">1-E13/($C$8*E11)</f>
        <v>0.236860317952491</v>
      </c>
      <c r="F25" s="12" t="n">
        <f aca="false">1-F13/($C$8*F11)</f>
        <v>0.240782633965656</v>
      </c>
      <c r="G25" s="12" t="n">
        <f aca="false">1-G13/($C$8*G11)</f>
        <v>0.244058568960661</v>
      </c>
      <c r="H25" s="12" t="n">
        <f aca="false">1-H13/($C$8*H11)</f>
        <v>0.232149240977617</v>
      </c>
      <c r="I25" s="12" t="n">
        <f aca="false">1-I13/($C$8*I11)</f>
        <v>0.250286579873905</v>
      </c>
    </row>
    <row r="26" customFormat="false" ht="15" hidden="false" customHeight="false" outlineLevel="0" collapsed="false">
      <c r="B26" s="4" t="s">
        <v>77</v>
      </c>
      <c r="C26" s="12" t="n">
        <f aca="false">(C11*(1-$C$8)-C14)/(C11*(1-$C$8))</f>
        <v>0.714899289099526</v>
      </c>
      <c r="D26" s="12" t="n">
        <f aca="false">(D11*(1-$C$8)-D14)/(D11*(1-$C$8))</f>
        <v>0.776975545411944</v>
      </c>
      <c r="E26" s="12" t="n">
        <f aca="false">(E11*(1-$C$8)-E14)/(E11*(1-$C$8))</f>
        <v>0.79317874177112</v>
      </c>
      <c r="F26" s="12" t="n">
        <f aca="false">(F11*(1-$C$8)-F14)/(F11*(1-$C$8))</f>
        <v>0.789755190944336</v>
      </c>
      <c r="G26" s="12" t="n">
        <f aca="false">(G11*(1-$C$8)-G14)/(G11*(1-$C$8))</f>
        <v>0.784564914866961</v>
      </c>
      <c r="H26" s="12" t="n">
        <f aca="false">(H11*(1-$C$8)-H14)/(H11*(1-$C$8))</f>
        <v>0.805215188170536</v>
      </c>
      <c r="I26" s="12" t="n">
        <f aca="false">(I11*(1-$C$8)-I14)/(I11*(1-$C$8))</f>
        <v>0.819717865038425</v>
      </c>
    </row>
    <row r="27" customFormat="false" ht="15" hidden="false" customHeight="false" outlineLevel="0" collapsed="false">
      <c r="B27" s="6" t="s">
        <v>78</v>
      </c>
    </row>
    <row r="30" customFormat="false" ht="15" hidden="false" customHeight="false" outlineLevel="0" collapsed="false">
      <c r="B30" s="3" t="s">
        <v>79</v>
      </c>
    </row>
    <row r="31" customFormat="false" ht="15" hidden="false" customHeight="false" outlineLevel="0" collapsed="false">
      <c r="B31" s="6" t="s">
        <v>80</v>
      </c>
    </row>
    <row r="32" customFormat="false" ht="15" hidden="false" customHeight="false" outlineLevel="0" collapsed="false">
      <c r="B32" s="9" t="s">
        <v>81</v>
      </c>
      <c r="C32" s="17" t="n">
        <v>0</v>
      </c>
      <c r="D32" s="17" t="n">
        <v>0.5</v>
      </c>
      <c r="E32" s="17" t="n">
        <v>1</v>
      </c>
    </row>
    <row r="33" customFormat="false" ht="15" hidden="false" customHeight="false" outlineLevel="0" collapsed="false">
      <c r="B33" s="17" t="n">
        <v>0.1</v>
      </c>
      <c r="C33" s="12" t="n">
        <f aca="false">((Margin_Inputs!$C$11+C$32*Margin_Inputs!$D$11+$C$7*Margin_Inputs!$B$11)/(1-$B33))/Margin_Inputs!$B$11</f>
        <v>0.571522148530255</v>
      </c>
      <c r="D33" s="12" t="n">
        <f aca="false">((Margin_Inputs!$C$11+D$32*Margin_Inputs!$D$11+$C$7*Margin_Inputs!$B$11)/(1-$B33))/Margin_Inputs!$B$11</f>
        <v>0.599770736100876</v>
      </c>
      <c r="E33" s="12" t="n">
        <f aca="false">((Margin_Inputs!$C$11+E$32*Margin_Inputs!$D$11+$C$7*Margin_Inputs!$B$11)/(1-$B33))/Margin_Inputs!$B$11</f>
        <v>0.628019323671498</v>
      </c>
    </row>
    <row r="34" customFormat="false" ht="15" hidden="false" customHeight="false" outlineLevel="0" collapsed="false">
      <c r="B34" s="17" t="n">
        <v>0.15</v>
      </c>
      <c r="C34" s="12" t="n">
        <f aca="false">((Margin_Inputs!$C$11+C$32*Margin_Inputs!$D$11+$C$7*Margin_Inputs!$B$11)/(1-$B34))/Margin_Inputs!$B$11</f>
        <v>0.605141098443799</v>
      </c>
      <c r="D34" s="12" t="n">
        <f aca="false">((Margin_Inputs!$C$11+D$32*Margin_Inputs!$D$11+$C$7*Margin_Inputs!$B$11)/(1-$B34))/Margin_Inputs!$B$11</f>
        <v>0.635051367636222</v>
      </c>
      <c r="E34" s="12" t="n">
        <f aca="false">((Margin_Inputs!$C$11+E$32*Margin_Inputs!$D$11+$C$7*Margin_Inputs!$B$11)/(1-$B34))/Margin_Inputs!$B$11</f>
        <v>0.664961636828645</v>
      </c>
    </row>
    <row r="35" customFormat="false" ht="15" hidden="false" customHeight="false" outlineLevel="0" collapsed="false">
      <c r="B35" s="17" t="n">
        <v>0.2</v>
      </c>
      <c r="C35" s="12" t="n">
        <f aca="false">((Margin_Inputs!$C$11+C$32*Margin_Inputs!$D$11+$C$7*Margin_Inputs!$B$11)/(1-$B35))/Margin_Inputs!$B$11</f>
        <v>0.642962417096537</v>
      </c>
      <c r="D35" s="12" t="n">
        <f aca="false">((Margin_Inputs!$C$11+D$32*Margin_Inputs!$D$11+$C$7*Margin_Inputs!$B$11)/(1-$B35))/Margin_Inputs!$B$11</f>
        <v>0.674742078113486</v>
      </c>
      <c r="E35" s="12" t="n">
        <f aca="false">((Margin_Inputs!$C$11+E$32*Margin_Inputs!$D$11+$C$7*Margin_Inputs!$B$11)/(1-$B35))/Margin_Inputs!$B$11</f>
        <v>0.706521739130435</v>
      </c>
    </row>
    <row r="36" customFormat="false" ht="15" hidden="false" customHeight="false" outlineLevel="0" collapsed="false">
      <c r="B36" s="17" t="n">
        <v>0.25</v>
      </c>
      <c r="C36" s="12" t="n">
        <f aca="false">((Margin_Inputs!$C$11+C$32*Margin_Inputs!$D$11+$C$7*Margin_Inputs!$B$11)/(1-$B36))/Margin_Inputs!$B$11</f>
        <v>0.685826578236306</v>
      </c>
      <c r="D36" s="12" t="n">
        <f aca="false">((Margin_Inputs!$C$11+D$32*Margin_Inputs!$D$11+$C$7*Margin_Inputs!$B$11)/(1-$B36))/Margin_Inputs!$B$11</f>
        <v>0.719724883321051</v>
      </c>
      <c r="E36" s="12" t="n">
        <f aca="false">((Margin_Inputs!$C$11+E$32*Margin_Inputs!$D$11+$C$7*Margin_Inputs!$B$11)/(1-$B36))/Margin_Inputs!$B$11</f>
        <v>0.753623188405797</v>
      </c>
    </row>
    <row r="37" customFormat="false" ht="15" hidden="false" customHeight="false" outlineLevel="0" collapsed="false">
      <c r="B37" s="17" t="n">
        <v>0.3</v>
      </c>
      <c r="C37" s="12" t="n">
        <f aca="false">((Margin_Inputs!$C$11+C$32*Margin_Inputs!$D$11+$C$7*Margin_Inputs!$B$11)/(1-$B37))/Margin_Inputs!$B$11</f>
        <v>0.73481419096747</v>
      </c>
      <c r="D37" s="12" t="n">
        <f aca="false">((Margin_Inputs!$C$11+D$32*Margin_Inputs!$D$11+$C$7*Margin_Inputs!$B$11)/(1-$B37))/Margin_Inputs!$B$11</f>
        <v>0.771133803558269</v>
      </c>
      <c r="E37" s="12" t="n">
        <f aca="false">((Margin_Inputs!$C$11+E$32*Margin_Inputs!$D$11+$C$7*Margin_Inputs!$B$11)/(1-$B37))/Margin_Inputs!$B$11</f>
        <v>0.807453416149069</v>
      </c>
    </row>
    <row r="38" customFormat="false" ht="15" hidden="false" customHeight="false" outlineLevel="0" collapsed="false">
      <c r="B38" s="17" t="n">
        <v>0.35</v>
      </c>
      <c r="C38" s="12" t="n">
        <f aca="false">((Margin_Inputs!$C$11+C$32*Margin_Inputs!$D$11+$C$7*Margin_Inputs!$B$11)/(1-$B38))/Margin_Inputs!$B$11</f>
        <v>0.79133835950343</v>
      </c>
      <c r="D38" s="12" t="n">
        <f aca="false">((Margin_Inputs!$C$11+D$32*Margin_Inputs!$D$11+$C$7*Margin_Inputs!$B$11)/(1-$B38))/Margin_Inputs!$B$11</f>
        <v>0.830451788447367</v>
      </c>
      <c r="E38" s="12" t="n">
        <f aca="false">((Margin_Inputs!$C$11+E$32*Margin_Inputs!$D$11+$C$7*Margin_Inputs!$B$11)/(1-$B38))/Margin_Inputs!$B$11</f>
        <v>0.869565217391304</v>
      </c>
    </row>
    <row r="40" customFormat="false" ht="15" hidden="false" customHeight="false" outlineLevel="0" collapsed="false">
      <c r="B40" s="3" t="s">
        <v>82</v>
      </c>
    </row>
    <row r="41" customFormat="false" ht="15" hidden="false" customHeight="false" outlineLevel="0" collapsed="false">
      <c r="B41" s="9" t="s">
        <v>81</v>
      </c>
      <c r="C41" s="17" t="n">
        <v>0</v>
      </c>
      <c r="D41" s="17" t="n">
        <v>0.5</v>
      </c>
      <c r="E41" s="17" t="n">
        <v>1</v>
      </c>
    </row>
    <row r="42" customFormat="false" ht="15" hidden="false" customHeight="false" outlineLevel="0" collapsed="false">
      <c r="B42" s="17" t="n">
        <v>0.1</v>
      </c>
      <c r="C42" s="12" t="n">
        <f aca="false">IF((Margin_Inputs!$B$11*(1-C33))&lt;=0,0,((Margin_Inputs!$B$11*(1-C33))-(Margin_Inputs!$E$11+(1-C$41)*Margin_Inputs!$D$11))/(Margin_Inputs!$B$11*(1-C33)))</f>
        <v>0.82285495891458</v>
      </c>
      <c r="D42" s="12" t="n">
        <f aca="false">IF((Margin_Inputs!$B$11*(1-D33))&lt;=0,0,((Margin_Inputs!$B$11*(1-D33))-(Margin_Inputs!$E$11+(1-D$41)*Margin_Inputs!$D$11))/(Margin_Inputs!$B$11*(1-D33)))</f>
        <v>0.873874795417349</v>
      </c>
      <c r="E42" s="12" t="n">
        <f aca="false">IF((Margin_Inputs!$B$11*(1-E33))&lt;=0,0,((Margin_Inputs!$B$11*(1-E33))-(Margin_Inputs!$E$11+(1-E$41)*Margin_Inputs!$D$11))/(Margin_Inputs!$B$11*(1-E33)))</f>
        <v>0.932643627558882</v>
      </c>
    </row>
    <row r="43" customFormat="false" ht="15" hidden="false" customHeight="false" outlineLevel="0" collapsed="false">
      <c r="B43" s="17" t="n">
        <v>0.15</v>
      </c>
      <c r="C43" s="12" t="n">
        <f aca="false">IF((Margin_Inputs!$B$11*(1-C34))&lt;=0,0,((Margin_Inputs!$B$11*(1-C34))-(Margin_Inputs!$E$11+(1-C$41)*Margin_Inputs!$D$11))/(Margin_Inputs!$B$11*(1-C34)))</f>
        <v>0.807772532660007</v>
      </c>
      <c r="D43" s="12" t="n">
        <f aca="false">IF((Margin_Inputs!$B$11*(1-D34))&lt;=0,0,((Margin_Inputs!$B$11*(1-D34))-(Margin_Inputs!$E$11+(1-D$41)*Margin_Inputs!$D$11))/(Margin_Inputs!$B$11*(1-D34)))</f>
        <v>0.861681909965554</v>
      </c>
      <c r="E43" s="12" t="n">
        <f aca="false">IF((Margin_Inputs!$B$11*(1-E34))&lt;=0,0,((Margin_Inputs!$B$11*(1-E34))-(Margin_Inputs!$E$11+(1-E$41)*Margin_Inputs!$D$11))/(Margin_Inputs!$B$11*(1-E34)))</f>
        <v>0.925216716263424</v>
      </c>
    </row>
    <row r="44" customFormat="false" ht="15" hidden="false" customHeight="false" outlineLevel="0" collapsed="false">
      <c r="B44" s="17" t="n">
        <v>0.2</v>
      </c>
      <c r="C44" s="12" t="n">
        <f aca="false">IF((Margin_Inputs!$B$11*(1-C35))&lt;=0,0,((Margin_Inputs!$B$11*(1-C35))-(Margin_Inputs!$E$11+(1-C$41)*Margin_Inputs!$D$11))/(Margin_Inputs!$B$11*(1-C35)))</f>
        <v>0.787409700722394</v>
      </c>
      <c r="D44" s="12" t="n">
        <f aca="false">IF((Margin_Inputs!$B$11*(1-D35))&lt;=0,0,((Margin_Inputs!$B$11*(1-D35))-(Margin_Inputs!$E$11+(1-D$41)*Margin_Inputs!$D$11))/(Margin_Inputs!$B$11*(1-D35)))</f>
        <v>0.844803171905976</v>
      </c>
      <c r="E44" s="12" t="n">
        <f aca="false">IF((Margin_Inputs!$B$11*(1-E35))&lt;=0,0,((Margin_Inputs!$B$11*(1-E35))-(Margin_Inputs!$E$11+(1-E$41)*Margin_Inputs!$D$11))/(Margin_Inputs!$B$11*(1-E35)))</f>
        <v>0.914626490897677</v>
      </c>
    </row>
    <row r="45" customFormat="false" ht="15" hidden="false" customHeight="false" outlineLevel="0" collapsed="false">
      <c r="B45" s="17" t="n">
        <v>0.25</v>
      </c>
      <c r="C45" s="12" t="n">
        <f aca="false">IF((Margin_Inputs!$B$11*(1-C36))&lt;=0,0,((Margin_Inputs!$B$11*(1-C36))-(Margin_Inputs!$E$11+(1-C$41)*Margin_Inputs!$D$11))/(Margin_Inputs!$B$11*(1-C36)))</f>
        <v>0.758405003909304</v>
      </c>
      <c r="D45" s="12" t="n">
        <f aca="false">IF((Margin_Inputs!$B$11*(1-D36))&lt;=0,0,((Margin_Inputs!$B$11*(1-D36))-(Margin_Inputs!$E$11+(1-D$41)*Margin_Inputs!$D$11))/(Margin_Inputs!$B$11*(1-D36)))</f>
        <v>0.819894829097283</v>
      </c>
      <c r="E45" s="12" t="n">
        <f aca="false">IF((Margin_Inputs!$B$11*(1-E36))&lt;=0,0,((Margin_Inputs!$B$11*(1-E36))-(Margin_Inputs!$E$11+(1-E$41)*Margin_Inputs!$D$11))/(Margin_Inputs!$B$11*(1-E36)))</f>
        <v>0.898305084745763</v>
      </c>
    </row>
    <row r="46" customFormat="false" ht="15" hidden="false" customHeight="false" outlineLevel="0" collapsed="false">
      <c r="B46" s="17" t="n">
        <v>0.3</v>
      </c>
      <c r="C46" s="12" t="n">
        <f aca="false">IF((Margin_Inputs!$B$11*(1-C37))&lt;=0,0,((Margin_Inputs!$B$11*(1-C37))-(Margin_Inputs!$E$11+(1-C$41)*Margin_Inputs!$D$11))/(Margin_Inputs!$B$11*(1-C37)))</f>
        <v>0.71377530766177</v>
      </c>
      <c r="D46" s="12" t="n">
        <f aca="false">IF((Margin_Inputs!$B$11*(1-D37))&lt;=0,0,((Margin_Inputs!$B$11*(1-D37))-(Margin_Inputs!$E$11+(1-D$41)*Margin_Inputs!$D$11))/(Margin_Inputs!$B$11*(1-D37)))</f>
        <v>0.779438822447102</v>
      </c>
      <c r="E46" s="12" t="n">
        <f aca="false">IF((Margin_Inputs!$B$11*(1-E37))&lt;=0,0,((Margin_Inputs!$B$11*(1-E37))-(Margin_Inputs!$E$11+(1-E$41)*Margin_Inputs!$D$11))/(Margin_Inputs!$B$11*(1-E37)))</f>
        <v>0.869874248223073</v>
      </c>
    </row>
    <row r="47" customFormat="false" ht="15" hidden="false" customHeight="false" outlineLevel="0" collapsed="false">
      <c r="B47" s="17" t="n">
        <v>0.35</v>
      </c>
      <c r="C47" s="12" t="n">
        <f aca="false">IF((Margin_Inputs!$B$11*(1-C38))&lt;=0,0,((Margin_Inputs!$B$11*(1-C38))-(Margin_Inputs!$E$11+(1-C$41)*Margin_Inputs!$D$11))/(Margin_Inputs!$B$11*(1-C38)))</f>
        <v>0.636240152132573</v>
      </c>
      <c r="D47" s="12" t="n">
        <f aca="false">IF((Margin_Inputs!$B$11*(1-D38))&lt;=0,0,((Margin_Inputs!$B$11*(1-D38))-(Margin_Inputs!$E$11+(1-D$41)*Margin_Inputs!$D$11))/(Margin_Inputs!$B$11*(1-D38)))</f>
        <v>0.702273487128051</v>
      </c>
      <c r="E47" s="12" t="n">
        <f aca="false">IF((Margin_Inputs!$B$11*(1-E38))&lt;=0,0,((Margin_Inputs!$B$11*(1-E38))-(Margin_Inputs!$E$11+(1-E$41)*Margin_Inputs!$D$11))/(Margin_Inputs!$B$11*(1-E38)))</f>
        <v>0.807909604519774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7" min="3" style="0" width="12"/>
  </cols>
  <sheetData>
    <row r="1" customFormat="false" ht="17.35" hidden="false" customHeight="false" outlineLevel="0" collapsed="false">
      <c r="B1" s="1" t="s">
        <v>83</v>
      </c>
    </row>
    <row r="3" customFormat="false" ht="15" hidden="false" customHeight="false" outlineLevel="0" collapsed="false">
      <c r="B3" s="4" t="s">
        <v>84</v>
      </c>
      <c r="C3" s="5" t="n">
        <f aca="false">Margin_Inputs!H11</f>
        <v>0.40972733971997</v>
      </c>
      <c r="D3" s="6" t="s">
        <v>85</v>
      </c>
    </row>
    <row r="4" customFormat="false" ht="15" hidden="false" customHeight="false" outlineLevel="0" collapsed="false">
      <c r="B4" s="4" t="s">
        <v>86</v>
      </c>
      <c r="C4" s="16" t="n">
        <v>0.8</v>
      </c>
    </row>
    <row r="5" customFormat="false" ht="15" hidden="false" customHeight="false" outlineLevel="0" collapsed="false">
      <c r="B5" s="4" t="s">
        <v>87</v>
      </c>
      <c r="C5" s="16" t="n">
        <v>0.25</v>
      </c>
    </row>
    <row r="6" customFormat="false" ht="15" hidden="false" customHeight="false" outlineLevel="0" collapsed="false">
      <c r="B6" s="4" t="s">
        <v>88</v>
      </c>
      <c r="C6" s="17" t="n">
        <v>0.5</v>
      </c>
    </row>
    <row r="8" customFormat="false" ht="15" hidden="false" customHeight="false" outlineLevel="0" collapsed="false">
      <c r="B8" s="9" t="s">
        <v>89</v>
      </c>
      <c r="C8" s="12" t="n">
        <f aca="false">(C4-C3)/(C4-C5)</f>
        <v>0.709586655054599</v>
      </c>
    </row>
    <row r="9" customFormat="false" ht="15" hidden="false" customHeight="false" outlineLevel="0" collapsed="false">
      <c r="B9" s="9" t="s">
        <v>90</v>
      </c>
      <c r="C9" s="12" t="n">
        <f aca="false">(C4-C6)/(C4-C5)</f>
        <v>0.545454545454546</v>
      </c>
    </row>
    <row r="10" customFormat="false" ht="15" hidden="false" customHeight="false" outlineLevel="0" collapsed="false">
      <c r="B10" s="9" t="s">
        <v>91</v>
      </c>
      <c r="C10" s="12" t="n">
        <f aca="false">(C6-(1-C8)*C4)/C8</f>
        <v>0.377218655589124</v>
      </c>
    </row>
    <row r="12" customFormat="false" ht="15" hidden="false" customHeight="false" outlineLevel="0" collapsed="false">
      <c r="B12" s="3" t="s">
        <v>92</v>
      </c>
    </row>
    <row r="13" customFormat="false" ht="15" hidden="false" customHeight="false" outlineLevel="0" collapsed="false">
      <c r="B13" s="9" t="s">
        <v>93</v>
      </c>
      <c r="C13" s="17" t="n">
        <v>0.15</v>
      </c>
      <c r="D13" s="17" t="n">
        <v>0.2</v>
      </c>
      <c r="E13" s="17" t="n">
        <v>0.25</v>
      </c>
      <c r="F13" s="17" t="n">
        <v>0.3</v>
      </c>
      <c r="G13" s="17" t="n">
        <v>0.35</v>
      </c>
    </row>
    <row r="14" customFormat="false" ht="15" hidden="false" customHeight="false" outlineLevel="0" collapsed="false">
      <c r="B14" s="17" t="n">
        <v>0.7</v>
      </c>
      <c r="C14" s="12" t="n">
        <f aca="false">($B14-$C$3)/($B14-C$13)</f>
        <v>0.527768473236418</v>
      </c>
      <c r="D14" s="12" t="n">
        <f aca="false">($B14-$C$3)/($B14-D$13)</f>
        <v>0.580545320560059</v>
      </c>
      <c r="E14" s="12" t="n">
        <f aca="false">($B14-$C$3)/($B14-E$13)</f>
        <v>0.645050356177844</v>
      </c>
      <c r="F14" s="12" t="n">
        <f aca="false">($B14-$C$3)/($B14-F$13)</f>
        <v>0.725681650700074</v>
      </c>
      <c r="G14" s="12" t="n">
        <f aca="false">($B14-$C$3)/($B14-G$13)</f>
        <v>0.829350457942942</v>
      </c>
    </row>
    <row r="15" customFormat="false" ht="15" hidden="false" customHeight="false" outlineLevel="0" collapsed="false">
      <c r="B15" s="17" t="n">
        <v>0.75</v>
      </c>
      <c r="C15" s="12" t="n">
        <f aca="false">($B15-$C$3)/($B15-C$13)</f>
        <v>0.567121100466716</v>
      </c>
      <c r="D15" s="12" t="n">
        <f aca="false">($B15-$C$3)/($B15-D$13)</f>
        <v>0.618677564145508</v>
      </c>
      <c r="E15" s="12" t="n">
        <f aca="false">($B15-$C$3)/($B15-E$13)</f>
        <v>0.680545320560059</v>
      </c>
      <c r="F15" s="12" t="n">
        <f aca="false">($B15-$C$3)/($B15-F$13)</f>
        <v>0.756161467288955</v>
      </c>
      <c r="G15" s="12" t="n">
        <f aca="false">($B15-$C$3)/($B15-G$13)</f>
        <v>0.850681650700074</v>
      </c>
    </row>
    <row r="16" customFormat="false" ht="15" hidden="false" customHeight="false" outlineLevel="0" collapsed="false">
      <c r="B16" s="17" t="n">
        <v>0.8</v>
      </c>
      <c r="C16" s="12" t="n">
        <f aca="false">($B16-$C$3)/($B16-C$13)</f>
        <v>0.600419477353892</v>
      </c>
      <c r="D16" s="12" t="n">
        <f aca="false">($B16-$C$3)/($B16-D$13)</f>
        <v>0.650454433800049</v>
      </c>
      <c r="E16" s="12" t="n">
        <f aca="false">($B16-$C$3)/($B16-E$13)</f>
        <v>0.709586655054599</v>
      </c>
      <c r="F16" s="12" t="n">
        <f aca="false">($B16-$C$3)/($B16-F$13)</f>
        <v>0.780545320560059</v>
      </c>
      <c r="G16" s="12" t="n">
        <f aca="false">($B16-$C$3)/($B16-G$13)</f>
        <v>0.867272578400066</v>
      </c>
    </row>
    <row r="17" customFormat="false" ht="15" hidden="false" customHeight="false" outlineLevel="0" collapsed="false">
      <c r="B17" s="17" t="n">
        <v>0.85</v>
      </c>
      <c r="C17" s="12" t="n">
        <f aca="false">($B17-$C$3)/($B17-C$13)</f>
        <v>0.628960943257185</v>
      </c>
      <c r="D17" s="12" t="n">
        <f aca="false">($B17-$C$3)/($B17-D$13)</f>
        <v>0.677342554276969</v>
      </c>
      <c r="E17" s="12" t="n">
        <f aca="false">($B17-$C$3)/($B17-E$13)</f>
        <v>0.733787767133383</v>
      </c>
      <c r="F17" s="12" t="n">
        <f aca="false">($B17-$C$3)/($B17-F$13)</f>
        <v>0.80049574596369</v>
      </c>
      <c r="G17" s="12" t="n">
        <f aca="false">($B17-$C$3)/($B17-G$13)</f>
        <v>0.880545320560059</v>
      </c>
    </row>
    <row r="19" customFormat="false" ht="39.75" hidden="false" customHeight="true" outlineLevel="0" collapsed="false">
      <c r="B19" s="14" t="s">
        <v>94</v>
      </c>
      <c r="C19" s="14"/>
      <c r="D19" s="14"/>
      <c r="E19" s="14"/>
      <c r="F19" s="14"/>
      <c r="G19" s="14"/>
    </row>
  </sheetData>
  <mergeCells count="1"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6"/>
    <col collapsed="false" customWidth="true" hidden="false" outlineLevel="0" max="15" min="14" style="0" width="10"/>
    <col collapsed="false" customWidth="true" hidden="false" outlineLevel="0" max="16" min="16" style="0" width="60"/>
    <col collapsed="false" customWidth="true" hidden="false" outlineLevel="0" max="17" min="17" style="0" width="8"/>
  </cols>
  <sheetData>
    <row r="1" customFormat="false" ht="17.35" hidden="false" customHeight="false" outlineLevel="0" collapsed="false">
      <c r="A1" s="1" t="s">
        <v>95</v>
      </c>
    </row>
    <row r="2" customFormat="false" ht="27.75" hidden="false" customHeight="true" outlineLevel="0" collapsed="false">
      <c r="A2" s="15" t="s">
        <v>96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customFormat="false" ht="35.05" hidden="false" customHeight="false" outlineLevel="0" collapsed="false">
      <c r="A4" s="8" t="s">
        <v>97</v>
      </c>
      <c r="B4" s="8" t="s">
        <v>98</v>
      </c>
      <c r="C4" s="8" t="s">
        <v>99</v>
      </c>
      <c r="D4" s="8" t="s">
        <v>100</v>
      </c>
      <c r="E4" s="8" t="s">
        <v>101</v>
      </c>
      <c r="F4" s="8" t="s">
        <v>102</v>
      </c>
      <c r="G4" s="8" t="s">
        <v>103</v>
      </c>
      <c r="H4" s="8" t="s">
        <v>104</v>
      </c>
      <c r="I4" s="8" t="s">
        <v>105</v>
      </c>
      <c r="J4" s="8" t="s">
        <v>106</v>
      </c>
      <c r="K4" s="8" t="s">
        <v>107</v>
      </c>
      <c r="L4" s="8" t="s">
        <v>108</v>
      </c>
      <c r="M4" s="8" t="s">
        <v>109</v>
      </c>
      <c r="N4" s="8" t="s">
        <v>110</v>
      </c>
      <c r="O4" s="8" t="s">
        <v>111</v>
      </c>
      <c r="P4" s="8" t="s">
        <v>112</v>
      </c>
      <c r="Q4" s="8" t="s">
        <v>113</v>
      </c>
    </row>
    <row r="5" customFormat="false" ht="36" hidden="false" customHeight="true" outlineLevel="0" collapsed="false">
      <c r="A5" s="4" t="n">
        <v>1</v>
      </c>
      <c r="B5" s="4" t="s">
        <v>114</v>
      </c>
      <c r="C5" s="4" t="s">
        <v>115</v>
      </c>
      <c r="D5" s="19" t="s">
        <v>116</v>
      </c>
      <c r="E5" s="19" t="s">
        <v>117</v>
      </c>
      <c r="F5" s="19" t="s">
        <v>118</v>
      </c>
      <c r="G5" s="20" t="n">
        <v>135</v>
      </c>
      <c r="H5" s="21" t="n">
        <v>72</v>
      </c>
      <c r="I5" s="22" t="n">
        <f aca="false">IF(H5=0,0,G5/H5*12)</f>
        <v>22.5</v>
      </c>
      <c r="J5" s="17" t="n">
        <v>0</v>
      </c>
      <c r="K5" s="22" t="n">
        <f aca="false">I5*J5</f>
        <v>0</v>
      </c>
      <c r="L5" s="22" t="n">
        <f aca="false">I5-K5</f>
        <v>22.5</v>
      </c>
      <c r="M5" s="4" t="s">
        <v>119</v>
      </c>
      <c r="N5" s="21" t="n">
        <v>0</v>
      </c>
      <c r="O5" s="21" t="n">
        <v>0</v>
      </c>
      <c r="P5" s="13" t="s">
        <v>120</v>
      </c>
      <c r="Q5" s="6" t="s">
        <v>121</v>
      </c>
    </row>
    <row r="6" customFormat="false" ht="36" hidden="false" customHeight="true" outlineLevel="0" collapsed="false">
      <c r="A6" s="4" t="n">
        <v>2</v>
      </c>
      <c r="B6" s="4" t="s">
        <v>122</v>
      </c>
      <c r="C6" s="4" t="s">
        <v>123</v>
      </c>
      <c r="D6" s="19" t="s">
        <v>124</v>
      </c>
      <c r="E6" s="19" t="s">
        <v>117</v>
      </c>
      <c r="F6" s="19" t="s">
        <v>118</v>
      </c>
      <c r="G6" s="20" t="n">
        <v>20.7</v>
      </c>
      <c r="H6" s="21" t="n">
        <v>24</v>
      </c>
      <c r="I6" s="22" t="n">
        <f aca="false">IF(H6=0,0,G6/H6*12)</f>
        <v>10.35</v>
      </c>
      <c r="J6" s="17" t="n">
        <v>0.04</v>
      </c>
      <c r="K6" s="22" t="n">
        <f aca="false">I6*J6</f>
        <v>0.414</v>
      </c>
      <c r="L6" s="22" t="n">
        <f aca="false">I6-K6</f>
        <v>9.936</v>
      </c>
      <c r="M6" s="4" t="s">
        <v>119</v>
      </c>
      <c r="N6" s="21" t="n">
        <v>0</v>
      </c>
      <c r="O6" s="21" t="n">
        <v>0</v>
      </c>
      <c r="P6" s="13" t="s">
        <v>125</v>
      </c>
      <c r="Q6" s="6" t="s">
        <v>126</v>
      </c>
    </row>
    <row r="7" customFormat="false" ht="36" hidden="false" customHeight="true" outlineLevel="0" collapsed="false">
      <c r="A7" s="4" t="n">
        <v>3</v>
      </c>
      <c r="B7" s="4" t="s">
        <v>127</v>
      </c>
      <c r="C7" s="4" t="s">
        <v>123</v>
      </c>
      <c r="D7" s="19" t="s">
        <v>128</v>
      </c>
      <c r="E7" s="19" t="s">
        <v>117</v>
      </c>
      <c r="F7" s="19" t="s">
        <v>118</v>
      </c>
      <c r="G7" s="20" t="n">
        <v>10.46</v>
      </c>
      <c r="H7" s="21" t="n">
        <v>12</v>
      </c>
      <c r="I7" s="22" t="n">
        <f aca="false">IF(H7=0,0,G7/H7*12)</f>
        <v>10.46</v>
      </c>
      <c r="J7" s="17" t="n">
        <v>0</v>
      </c>
      <c r="K7" s="22" t="n">
        <f aca="false">I7*J7</f>
        <v>0</v>
      </c>
      <c r="L7" s="22" t="n">
        <f aca="false">I7-K7</f>
        <v>10.46</v>
      </c>
      <c r="M7" s="4" t="s">
        <v>119</v>
      </c>
      <c r="N7" s="21" t="n">
        <v>0</v>
      </c>
      <c r="O7" s="21" t="n">
        <v>0</v>
      </c>
      <c r="P7" s="13" t="s">
        <v>129</v>
      </c>
      <c r="Q7" s="6" t="s">
        <v>130</v>
      </c>
    </row>
    <row r="8" customFormat="false" ht="36" hidden="false" customHeight="true" outlineLevel="0" collapsed="false">
      <c r="A8" s="4" t="n">
        <v>4</v>
      </c>
      <c r="B8" s="4" t="s">
        <v>131</v>
      </c>
      <c r="C8" s="4" t="s">
        <v>123</v>
      </c>
      <c r="D8" s="19" t="s">
        <v>132</v>
      </c>
      <c r="E8" s="19" t="s">
        <v>117</v>
      </c>
      <c r="F8" s="19" t="s">
        <v>118</v>
      </c>
      <c r="G8" s="20" t="n">
        <v>21</v>
      </c>
      <c r="H8" s="21" t="n">
        <v>36</v>
      </c>
      <c r="I8" s="22" t="n">
        <f aca="false">IF(H8=0,0,G8/H8*12)</f>
        <v>7</v>
      </c>
      <c r="J8" s="5" t="n">
        <f aca="false">Updated_Mix!$C$8</f>
        <v>0.04</v>
      </c>
      <c r="K8" s="22" t="n">
        <f aca="false">I8*J8</f>
        <v>0.28</v>
      </c>
      <c r="L8" s="22" t="n">
        <f aca="false">I8-K8</f>
        <v>6.72</v>
      </c>
      <c r="M8" s="4" t="s">
        <v>133</v>
      </c>
      <c r="N8" s="21" t="n">
        <v>0</v>
      </c>
      <c r="O8" s="21" t="n">
        <v>0</v>
      </c>
      <c r="P8" s="13" t="s">
        <v>134</v>
      </c>
      <c r="Q8" s="6" t="s">
        <v>130</v>
      </c>
    </row>
    <row r="9" customFormat="false" ht="36" hidden="false" customHeight="true" outlineLevel="0" collapsed="false">
      <c r="A9" s="4" t="n">
        <v>5</v>
      </c>
      <c r="B9" s="4" t="s">
        <v>135</v>
      </c>
      <c r="C9" s="4" t="s">
        <v>136</v>
      </c>
      <c r="D9" s="19" t="s">
        <v>137</v>
      </c>
      <c r="E9" s="19" t="s">
        <v>117</v>
      </c>
      <c r="F9" s="19" t="s">
        <v>118</v>
      </c>
      <c r="G9" s="20" t="n">
        <v>36.3</v>
      </c>
      <c r="H9" s="21" t="n">
        <v>36</v>
      </c>
      <c r="I9" s="22" t="n">
        <f aca="false">IF(H9=0,0,G9/H9*12)</f>
        <v>12.1</v>
      </c>
      <c r="J9" s="5" t="n">
        <f aca="false">Updated_Mix!$C$8</f>
        <v>0.04</v>
      </c>
      <c r="K9" s="22" t="n">
        <f aca="false">I9*J9</f>
        <v>0.484</v>
      </c>
      <c r="L9" s="22" t="n">
        <f aca="false">I9-K9</f>
        <v>11.616</v>
      </c>
      <c r="M9" s="4" t="s">
        <v>133</v>
      </c>
      <c r="N9" s="21" t="n">
        <v>0</v>
      </c>
      <c r="O9" s="21" t="n">
        <v>1</v>
      </c>
      <c r="P9" s="13" t="s">
        <v>138</v>
      </c>
      <c r="Q9" s="6" t="s">
        <v>130</v>
      </c>
    </row>
    <row r="10" customFormat="false" ht="36" hidden="false" customHeight="true" outlineLevel="0" collapsed="false">
      <c r="A10" s="4" t="n">
        <v>6</v>
      </c>
      <c r="B10" s="4" t="s">
        <v>139</v>
      </c>
      <c r="C10" s="4" t="s">
        <v>140</v>
      </c>
      <c r="D10" s="19" t="s">
        <v>141</v>
      </c>
      <c r="E10" s="19" t="s">
        <v>117</v>
      </c>
      <c r="F10" s="19" t="s">
        <v>118</v>
      </c>
      <c r="G10" s="20" t="n">
        <v>6.08</v>
      </c>
      <c r="H10" s="21" t="n">
        <v>60</v>
      </c>
      <c r="I10" s="22" t="n">
        <f aca="false">IF(H10=0,0,G10/H10*12)</f>
        <v>1.216</v>
      </c>
      <c r="J10" s="5" t="n">
        <f aca="false">Updated_Mix!$C$8</f>
        <v>0.04</v>
      </c>
      <c r="K10" s="22" t="n">
        <f aca="false">I10*J10</f>
        <v>0.04864</v>
      </c>
      <c r="L10" s="22" t="n">
        <f aca="false">I10-K10</f>
        <v>1.16736</v>
      </c>
      <c r="M10" s="4" t="s">
        <v>133</v>
      </c>
      <c r="N10" s="21" t="n">
        <v>0</v>
      </c>
      <c r="O10" s="21" t="n">
        <v>0</v>
      </c>
      <c r="P10" s="13" t="s">
        <v>142</v>
      </c>
      <c r="Q10" s="6" t="s">
        <v>130</v>
      </c>
    </row>
    <row r="11" customFormat="false" ht="36" hidden="false" customHeight="true" outlineLevel="0" collapsed="false">
      <c r="A11" s="4" t="n">
        <v>7</v>
      </c>
      <c r="B11" s="4" t="s">
        <v>143</v>
      </c>
      <c r="C11" s="4" t="s">
        <v>140</v>
      </c>
      <c r="D11" s="19" t="s">
        <v>144</v>
      </c>
      <c r="E11" s="19" t="s">
        <v>117</v>
      </c>
      <c r="F11" s="19" t="s">
        <v>118</v>
      </c>
      <c r="G11" s="20" t="n">
        <v>4.66</v>
      </c>
      <c r="H11" s="21" t="n">
        <v>36</v>
      </c>
      <c r="I11" s="22" t="n">
        <f aca="false">IF(H11=0,0,G11/H11*12)</f>
        <v>1.55333333333333</v>
      </c>
      <c r="J11" s="5" t="n">
        <f aca="false">Updated_Mix!$C$8</f>
        <v>0.04</v>
      </c>
      <c r="K11" s="22" t="n">
        <f aca="false">I11*J11</f>
        <v>0.0621333333333333</v>
      </c>
      <c r="L11" s="22" t="n">
        <f aca="false">I11-K11</f>
        <v>1.4912</v>
      </c>
      <c r="M11" s="4" t="s">
        <v>133</v>
      </c>
      <c r="N11" s="21" t="n">
        <v>0</v>
      </c>
      <c r="O11" s="21" t="n">
        <v>0</v>
      </c>
      <c r="P11" s="13" t="s">
        <v>145</v>
      </c>
      <c r="Q11" s="6" t="s">
        <v>130</v>
      </c>
    </row>
    <row r="12" customFormat="false" ht="36" hidden="false" customHeight="true" outlineLevel="0" collapsed="false">
      <c r="A12" s="4" t="n">
        <v>8</v>
      </c>
      <c r="B12" s="4" t="s">
        <v>146</v>
      </c>
      <c r="C12" s="4" t="s">
        <v>140</v>
      </c>
      <c r="D12" s="19" t="s">
        <v>147</v>
      </c>
      <c r="E12" s="19" t="s">
        <v>117</v>
      </c>
      <c r="F12" s="19" t="s">
        <v>118</v>
      </c>
      <c r="G12" s="20" t="n">
        <v>2.2</v>
      </c>
      <c r="H12" s="21" t="n">
        <v>12</v>
      </c>
      <c r="I12" s="22" t="n">
        <f aca="false">IF(H12=0,0,G12/H12*12)</f>
        <v>2.2</v>
      </c>
      <c r="J12" s="5" t="n">
        <f aca="false">Updated_Mix!$C$8</f>
        <v>0.04</v>
      </c>
      <c r="K12" s="22" t="n">
        <f aca="false">I12*J12</f>
        <v>0.088</v>
      </c>
      <c r="L12" s="22" t="n">
        <f aca="false">I12-K12</f>
        <v>2.112</v>
      </c>
      <c r="M12" s="4" t="s">
        <v>133</v>
      </c>
      <c r="N12" s="21" t="n">
        <v>0</v>
      </c>
      <c r="O12" s="21" t="n">
        <v>0</v>
      </c>
      <c r="P12" s="13" t="s">
        <v>148</v>
      </c>
      <c r="Q12" s="6" t="s">
        <v>149</v>
      </c>
    </row>
    <row r="13" customFormat="false" ht="36" hidden="false" customHeight="true" outlineLevel="0" collapsed="false">
      <c r="A13" s="4" t="n">
        <v>9</v>
      </c>
      <c r="B13" s="4" t="s">
        <v>150</v>
      </c>
      <c r="C13" s="4" t="s">
        <v>140</v>
      </c>
      <c r="D13" s="19" t="s">
        <v>151</v>
      </c>
      <c r="E13" s="19" t="s">
        <v>117</v>
      </c>
      <c r="F13" s="19" t="s">
        <v>118</v>
      </c>
      <c r="G13" s="20" t="n">
        <v>1.65</v>
      </c>
      <c r="H13" s="21" t="n">
        <v>12</v>
      </c>
      <c r="I13" s="22" t="n">
        <f aca="false">IF(H13=0,0,G13/H13*12)</f>
        <v>1.65</v>
      </c>
      <c r="J13" s="5" t="n">
        <f aca="false">Updated_Mix!$C$8</f>
        <v>0.04</v>
      </c>
      <c r="K13" s="22" t="n">
        <f aca="false">I13*J13</f>
        <v>0.066</v>
      </c>
      <c r="L13" s="22" t="n">
        <f aca="false">I13-K13</f>
        <v>1.584</v>
      </c>
      <c r="M13" s="4" t="s">
        <v>133</v>
      </c>
      <c r="N13" s="21" t="n">
        <v>0</v>
      </c>
      <c r="O13" s="21" t="n">
        <v>0</v>
      </c>
      <c r="P13" s="13" t="s">
        <v>152</v>
      </c>
      <c r="Q13" s="6" t="s">
        <v>130</v>
      </c>
    </row>
    <row r="14" customFormat="false" ht="36" hidden="false" customHeight="true" outlineLevel="0" collapsed="false">
      <c r="A14" s="4" t="n">
        <v>10</v>
      </c>
      <c r="B14" s="4" t="s">
        <v>153</v>
      </c>
      <c r="C14" s="4" t="s">
        <v>123</v>
      </c>
      <c r="D14" s="19" t="s">
        <v>154</v>
      </c>
      <c r="E14" s="19" t="s">
        <v>117</v>
      </c>
      <c r="F14" s="19" t="s">
        <v>118</v>
      </c>
      <c r="G14" s="20" t="n">
        <v>3.4</v>
      </c>
      <c r="H14" s="21" t="n">
        <v>36</v>
      </c>
      <c r="I14" s="22" t="n">
        <f aca="false">IF(H14=0,0,G14/H14*12)</f>
        <v>1.13333333333333</v>
      </c>
      <c r="J14" s="17" t="n">
        <v>0.0044</v>
      </c>
      <c r="K14" s="22" t="n">
        <f aca="false">I14*J14</f>
        <v>0.00498666666666667</v>
      </c>
      <c r="L14" s="22" t="n">
        <f aca="false">I14-K14</f>
        <v>1.12834666666667</v>
      </c>
      <c r="M14" s="4" t="s">
        <v>119</v>
      </c>
      <c r="N14" s="21" t="n">
        <v>0</v>
      </c>
      <c r="O14" s="21" t="n">
        <v>0</v>
      </c>
      <c r="P14" s="13" t="s">
        <v>155</v>
      </c>
      <c r="Q14" s="6" t="s">
        <v>130</v>
      </c>
    </row>
    <row r="15" customFormat="false" ht="36" hidden="false" customHeight="true" outlineLevel="0" collapsed="false">
      <c r="A15" s="4" t="n">
        <v>11</v>
      </c>
      <c r="B15" s="4" t="s">
        <v>156</v>
      </c>
      <c r="C15" s="4" t="s">
        <v>157</v>
      </c>
      <c r="D15" s="19" t="s">
        <v>158</v>
      </c>
      <c r="E15" s="19" t="s">
        <v>117</v>
      </c>
      <c r="F15" s="19" t="s">
        <v>159</v>
      </c>
      <c r="G15" s="20" t="n">
        <v>2.93</v>
      </c>
      <c r="H15" s="21" t="n">
        <v>60</v>
      </c>
      <c r="I15" s="22" t="n">
        <f aca="false">IF(H15=0,0,G15/H15*12)</f>
        <v>0.586</v>
      </c>
      <c r="J15" s="17" t="n">
        <v>1</v>
      </c>
      <c r="K15" s="22" t="n">
        <f aca="false">I15*J15</f>
        <v>0.586</v>
      </c>
      <c r="L15" s="22" t="n">
        <f aca="false">I15-K15</f>
        <v>0</v>
      </c>
      <c r="M15" s="4" t="s">
        <v>119</v>
      </c>
      <c r="N15" s="21" t="n">
        <v>0</v>
      </c>
      <c r="O15" s="21" t="n">
        <v>0</v>
      </c>
      <c r="P15" s="13" t="s">
        <v>160</v>
      </c>
      <c r="Q15" s="6" t="s">
        <v>161</v>
      </c>
    </row>
    <row r="16" customFormat="false" ht="36" hidden="false" customHeight="true" outlineLevel="0" collapsed="false">
      <c r="A16" s="4" t="n">
        <v>12</v>
      </c>
      <c r="B16" s="4" t="s">
        <v>162</v>
      </c>
      <c r="C16" s="4" t="s">
        <v>123</v>
      </c>
      <c r="D16" s="19" t="s">
        <v>163</v>
      </c>
      <c r="E16" s="19" t="s">
        <v>164</v>
      </c>
      <c r="F16" s="19" t="s">
        <v>165</v>
      </c>
      <c r="G16" s="20" t="n">
        <v>0</v>
      </c>
      <c r="H16" s="21" t="n">
        <v>12</v>
      </c>
      <c r="I16" s="22" t="n">
        <f aca="false">IF(H16=0,0,G16/H16*12)</f>
        <v>0</v>
      </c>
      <c r="J16" s="5" t="n">
        <f aca="false">Updated_Mix!$C$8</f>
        <v>0.04</v>
      </c>
      <c r="K16" s="22" t="n">
        <f aca="false">I16*J16</f>
        <v>0</v>
      </c>
      <c r="L16" s="22" t="n">
        <f aca="false">I16-K16</f>
        <v>0</v>
      </c>
      <c r="M16" s="4" t="s">
        <v>133</v>
      </c>
      <c r="N16" s="21" t="n">
        <v>0</v>
      </c>
      <c r="O16" s="21" t="n">
        <v>1</v>
      </c>
      <c r="P16" s="13" t="s">
        <v>166</v>
      </c>
      <c r="Q16" s="6" t="s">
        <v>167</v>
      </c>
    </row>
    <row r="17" customFormat="false" ht="36" hidden="false" customHeight="true" outlineLevel="0" collapsed="false">
      <c r="A17" s="4" t="n">
        <v>13</v>
      </c>
      <c r="B17" s="4" t="s">
        <v>168</v>
      </c>
      <c r="C17" s="4" t="s">
        <v>169</v>
      </c>
      <c r="D17" s="19" t="s">
        <v>170</v>
      </c>
      <c r="E17" s="19" t="s">
        <v>164</v>
      </c>
      <c r="F17" s="19" t="s">
        <v>118</v>
      </c>
      <c r="G17" s="20" t="n">
        <v>3.952247</v>
      </c>
      <c r="H17" s="21" t="n">
        <v>6</v>
      </c>
      <c r="I17" s="22" t="n">
        <f aca="false">IF(H17=0,0,G17/H17*12)</f>
        <v>7.904494</v>
      </c>
      <c r="J17" s="5" t="n">
        <f aca="false">Updated_Mix!$C$8</f>
        <v>0.04</v>
      </c>
      <c r="K17" s="22" t="n">
        <f aca="false">I17*J17</f>
        <v>0.31617976</v>
      </c>
      <c r="L17" s="22" t="n">
        <f aca="false">I17-K17</f>
        <v>7.58831424</v>
      </c>
      <c r="M17" s="4" t="s">
        <v>133</v>
      </c>
      <c r="N17" s="21" t="n">
        <v>1</v>
      </c>
      <c r="O17" s="21" t="n">
        <v>1</v>
      </c>
      <c r="P17" s="13" t="s">
        <v>171</v>
      </c>
      <c r="Q17" s="6" t="s">
        <v>172</v>
      </c>
    </row>
    <row r="18" customFormat="false" ht="36" hidden="false" customHeight="true" outlineLevel="0" collapsed="false">
      <c r="A18" s="4" t="n">
        <v>14</v>
      </c>
      <c r="B18" s="4" t="s">
        <v>173</v>
      </c>
      <c r="C18" s="4" t="s">
        <v>169</v>
      </c>
      <c r="D18" s="19" t="s">
        <v>174</v>
      </c>
      <c r="E18" s="19" t="s">
        <v>164</v>
      </c>
      <c r="F18" s="19" t="s">
        <v>118</v>
      </c>
      <c r="G18" s="20" t="n">
        <v>0.872231</v>
      </c>
      <c r="H18" s="21" t="n">
        <v>6</v>
      </c>
      <c r="I18" s="22" t="n">
        <f aca="false">IF(H18=0,0,G18/H18*12)</f>
        <v>1.744462</v>
      </c>
      <c r="J18" s="5" t="n">
        <f aca="false">Updated_Mix!$C$8</f>
        <v>0.04</v>
      </c>
      <c r="K18" s="22" t="n">
        <f aca="false">I18*J18</f>
        <v>0.06977848</v>
      </c>
      <c r="L18" s="22" t="n">
        <f aca="false">I18-K18</f>
        <v>1.67468352</v>
      </c>
      <c r="M18" s="4" t="s">
        <v>133</v>
      </c>
      <c r="N18" s="21" t="n">
        <v>1</v>
      </c>
      <c r="O18" s="21" t="n">
        <v>0</v>
      </c>
      <c r="P18" s="13" t="s">
        <v>175</v>
      </c>
      <c r="Q18" s="6" t="s">
        <v>176</v>
      </c>
    </row>
    <row r="19" customFormat="false" ht="36" hidden="false" customHeight="true" outlineLevel="0" collapsed="false">
      <c r="A19" s="4" t="n">
        <v>15</v>
      </c>
      <c r="B19" s="4" t="s">
        <v>177</v>
      </c>
      <c r="C19" s="4" t="s">
        <v>123</v>
      </c>
      <c r="D19" s="19" t="s">
        <v>178</v>
      </c>
      <c r="E19" s="19" t="s">
        <v>164</v>
      </c>
      <c r="F19" s="19" t="s">
        <v>118</v>
      </c>
      <c r="G19" s="20" t="n">
        <v>0</v>
      </c>
      <c r="H19" s="21" t="n">
        <v>24</v>
      </c>
      <c r="I19" s="22" t="n">
        <f aca="false">IF(H19=0,0,G19/H19*12)</f>
        <v>0</v>
      </c>
      <c r="J19" s="5" t="n">
        <f aca="false">Updated_Mix!$C$8</f>
        <v>0.04</v>
      </c>
      <c r="K19" s="22" t="n">
        <f aca="false">I19*J19</f>
        <v>0</v>
      </c>
      <c r="L19" s="22" t="n">
        <f aca="false">I19-K19</f>
        <v>0</v>
      </c>
      <c r="M19" s="4" t="s">
        <v>133</v>
      </c>
      <c r="N19" s="21" t="n">
        <v>0</v>
      </c>
      <c r="O19" s="21" t="n">
        <v>0</v>
      </c>
      <c r="P19" s="13" t="s">
        <v>179</v>
      </c>
      <c r="Q19" s="6" t="s">
        <v>180</v>
      </c>
    </row>
    <row r="20" customFormat="false" ht="36" hidden="false" customHeight="true" outlineLevel="0" collapsed="false">
      <c r="A20" s="4" t="n">
        <v>16</v>
      </c>
      <c r="B20" s="4" t="s">
        <v>181</v>
      </c>
      <c r="C20" s="4" t="s">
        <v>123</v>
      </c>
      <c r="D20" s="19" t="s">
        <v>178</v>
      </c>
      <c r="E20" s="19" t="s">
        <v>164</v>
      </c>
      <c r="F20" s="19" t="s">
        <v>159</v>
      </c>
      <c r="G20" s="20" t="n">
        <v>0</v>
      </c>
      <c r="H20" s="21" t="n">
        <v>24</v>
      </c>
      <c r="I20" s="22" t="n">
        <f aca="false">IF(H20=0,0,G20/H20*12)</f>
        <v>0</v>
      </c>
      <c r="J20" s="17" t="n">
        <v>1</v>
      </c>
      <c r="K20" s="22" t="n">
        <f aca="false">I20*J20</f>
        <v>0</v>
      </c>
      <c r="L20" s="22" t="n">
        <f aca="false">I20-K20</f>
        <v>0</v>
      </c>
      <c r="M20" s="4" t="s">
        <v>119</v>
      </c>
      <c r="N20" s="21" t="n">
        <v>0</v>
      </c>
      <c r="O20" s="21" t="n">
        <v>0</v>
      </c>
      <c r="P20" s="13" t="s">
        <v>182</v>
      </c>
      <c r="Q20" s="6" t="s">
        <v>180</v>
      </c>
    </row>
    <row r="21" customFormat="false" ht="36" hidden="false" customHeight="true" outlineLevel="0" collapsed="false">
      <c r="A21" s="4" t="n">
        <v>17</v>
      </c>
      <c r="B21" s="4" t="s">
        <v>183</v>
      </c>
      <c r="C21" s="4" t="s">
        <v>123</v>
      </c>
      <c r="D21" s="19" t="s">
        <v>184</v>
      </c>
      <c r="E21" s="19" t="s">
        <v>164</v>
      </c>
      <c r="F21" s="19" t="s">
        <v>118</v>
      </c>
      <c r="G21" s="20" t="n">
        <v>1.55</v>
      </c>
      <c r="H21" s="21" t="n">
        <v>6</v>
      </c>
      <c r="I21" s="22" t="n">
        <f aca="false">IF(H21=0,0,G21/H21*12)</f>
        <v>3.1</v>
      </c>
      <c r="J21" s="5" t="n">
        <f aca="false">Updated_Mix!$C$8</f>
        <v>0.04</v>
      </c>
      <c r="K21" s="22" t="n">
        <f aca="false">I21*J21</f>
        <v>0.124</v>
      </c>
      <c r="L21" s="22" t="n">
        <f aca="false">I21-K21</f>
        <v>2.976</v>
      </c>
      <c r="M21" s="4" t="s">
        <v>133</v>
      </c>
      <c r="N21" s="21" t="n">
        <v>1</v>
      </c>
      <c r="O21" s="21" t="n">
        <v>0</v>
      </c>
      <c r="P21" s="13" t="s">
        <v>185</v>
      </c>
      <c r="Q21" s="6" t="s">
        <v>186</v>
      </c>
    </row>
    <row r="22" customFormat="false" ht="36" hidden="false" customHeight="true" outlineLevel="0" collapsed="false">
      <c r="A22" s="4" t="n">
        <v>18</v>
      </c>
      <c r="B22" s="4" t="s">
        <v>187</v>
      </c>
      <c r="C22" s="4" t="s">
        <v>123</v>
      </c>
      <c r="D22" s="19" t="s">
        <v>188</v>
      </c>
      <c r="E22" s="19" t="s">
        <v>164</v>
      </c>
      <c r="F22" s="19" t="s">
        <v>118</v>
      </c>
      <c r="G22" s="20" t="n">
        <v>1.06</v>
      </c>
      <c r="H22" s="21" t="n">
        <v>12</v>
      </c>
      <c r="I22" s="22" t="n">
        <f aca="false">IF(H22=0,0,G22/H22*12)</f>
        <v>1.06</v>
      </c>
      <c r="J22" s="5" t="n">
        <f aca="false">Updated_Mix!$C$8</f>
        <v>0.04</v>
      </c>
      <c r="K22" s="22" t="n">
        <f aca="false">I22*J22</f>
        <v>0.0424</v>
      </c>
      <c r="L22" s="22" t="n">
        <f aca="false">I22-K22</f>
        <v>1.0176</v>
      </c>
      <c r="M22" s="4" t="s">
        <v>133</v>
      </c>
      <c r="N22" s="21" t="n">
        <v>0</v>
      </c>
      <c r="O22" s="21" t="n">
        <v>0</v>
      </c>
      <c r="P22" s="13" t="s">
        <v>189</v>
      </c>
      <c r="Q22" s="6" t="s">
        <v>190</v>
      </c>
    </row>
    <row r="23" customFormat="false" ht="36" hidden="false" customHeight="true" outlineLevel="0" collapsed="false">
      <c r="A23" s="4" t="n">
        <v>19</v>
      </c>
      <c r="B23" s="4" t="s">
        <v>191</v>
      </c>
      <c r="C23" s="4" t="s">
        <v>140</v>
      </c>
      <c r="D23" s="19" t="s">
        <v>192</v>
      </c>
      <c r="E23" s="19" t="s">
        <v>164</v>
      </c>
      <c r="F23" s="19" t="s">
        <v>118</v>
      </c>
      <c r="G23" s="20" t="n">
        <v>0</v>
      </c>
      <c r="H23" s="21" t="n">
        <v>12</v>
      </c>
      <c r="I23" s="22" t="n">
        <f aca="false">IF(H23=0,0,G23/H23*12)</f>
        <v>0</v>
      </c>
      <c r="J23" s="5" t="n">
        <f aca="false">Updated_Mix!$C$8</f>
        <v>0.04</v>
      </c>
      <c r="K23" s="22" t="n">
        <f aca="false">I23*J23</f>
        <v>0</v>
      </c>
      <c r="L23" s="22" t="n">
        <f aca="false">I23-K23</f>
        <v>0</v>
      </c>
      <c r="M23" s="4" t="s">
        <v>133</v>
      </c>
      <c r="N23" s="21" t="n">
        <v>0</v>
      </c>
      <c r="O23" s="21" t="n">
        <v>0</v>
      </c>
      <c r="P23" s="13" t="s">
        <v>193</v>
      </c>
      <c r="Q23" s="6" t="s">
        <v>194</v>
      </c>
    </row>
    <row r="24" customFormat="false" ht="36" hidden="false" customHeight="true" outlineLevel="0" collapsed="false">
      <c r="A24" s="4" t="n">
        <v>20</v>
      </c>
      <c r="B24" s="4" t="s">
        <v>195</v>
      </c>
      <c r="C24" s="4" t="s">
        <v>140</v>
      </c>
      <c r="D24" s="19" t="s">
        <v>196</v>
      </c>
      <c r="E24" s="19" t="s">
        <v>164</v>
      </c>
      <c r="F24" s="19" t="s">
        <v>118</v>
      </c>
      <c r="G24" s="20" t="n">
        <v>1.99172</v>
      </c>
      <c r="H24" s="21" t="n">
        <v>12</v>
      </c>
      <c r="I24" s="22" t="n">
        <f aca="false">IF(H24=0,0,G24/H24*12)</f>
        <v>1.99172</v>
      </c>
      <c r="J24" s="5" t="n">
        <f aca="false">Updated_Mix!$C$8</f>
        <v>0.04</v>
      </c>
      <c r="K24" s="22" t="n">
        <f aca="false">I24*J24</f>
        <v>0.0796688</v>
      </c>
      <c r="L24" s="22" t="n">
        <f aca="false">I24-K24</f>
        <v>1.9120512</v>
      </c>
      <c r="M24" s="4" t="s">
        <v>133</v>
      </c>
      <c r="N24" s="21" t="n">
        <v>1</v>
      </c>
      <c r="O24" s="21" t="n">
        <v>0</v>
      </c>
      <c r="P24" s="13" t="s">
        <v>197</v>
      </c>
      <c r="Q24" s="6" t="s">
        <v>198</v>
      </c>
    </row>
    <row r="25" customFormat="false" ht="36" hidden="false" customHeight="true" outlineLevel="0" collapsed="false">
      <c r="A25" s="4" t="n">
        <v>21</v>
      </c>
      <c r="B25" s="4" t="s">
        <v>199</v>
      </c>
      <c r="C25" s="4" t="s">
        <v>123</v>
      </c>
      <c r="D25" s="19" t="s">
        <v>200</v>
      </c>
      <c r="E25" s="19" t="s">
        <v>164</v>
      </c>
      <c r="F25" s="19" t="s">
        <v>118</v>
      </c>
      <c r="G25" s="20" t="n">
        <v>6.3</v>
      </c>
      <c r="H25" s="21" t="n">
        <v>24</v>
      </c>
      <c r="I25" s="22" t="n">
        <f aca="false">IF(H25=0,0,G25/H25*12)</f>
        <v>3.15</v>
      </c>
      <c r="J25" s="5" t="n">
        <f aca="false">Updated_Mix!$C$8</f>
        <v>0.04</v>
      </c>
      <c r="K25" s="22" t="n">
        <f aca="false">I25*J25</f>
        <v>0.126</v>
      </c>
      <c r="L25" s="22" t="n">
        <f aca="false">I25-K25</f>
        <v>3.024</v>
      </c>
      <c r="M25" s="4" t="s">
        <v>133</v>
      </c>
      <c r="N25" s="21" t="n">
        <v>1</v>
      </c>
      <c r="O25" s="21" t="n">
        <v>0</v>
      </c>
      <c r="P25" s="13" t="s">
        <v>201</v>
      </c>
      <c r="Q25" s="6" t="s">
        <v>202</v>
      </c>
    </row>
    <row r="26" customFormat="false" ht="36" hidden="false" customHeight="true" outlineLevel="0" collapsed="false">
      <c r="A26" s="4" t="n">
        <v>22</v>
      </c>
      <c r="B26" s="4" t="s">
        <v>203</v>
      </c>
      <c r="C26" s="4" t="s">
        <v>123</v>
      </c>
      <c r="D26" s="19" t="s">
        <v>204</v>
      </c>
      <c r="E26" s="19" t="s">
        <v>164</v>
      </c>
      <c r="F26" s="19" t="s">
        <v>205</v>
      </c>
      <c r="G26" s="20" t="n">
        <v>-4</v>
      </c>
      <c r="H26" s="21" t="n">
        <v>12</v>
      </c>
      <c r="I26" s="22" t="n">
        <f aca="false">IF(H26=0,0,G26/H26*12)</f>
        <v>-4</v>
      </c>
      <c r="J26" s="17" t="n">
        <v>0</v>
      </c>
      <c r="K26" s="22" t="n">
        <f aca="false">I26*J26</f>
        <v>-0</v>
      </c>
      <c r="L26" s="22" t="n">
        <f aca="false">I26-K26</f>
        <v>-4</v>
      </c>
      <c r="M26" s="4" t="s">
        <v>133</v>
      </c>
      <c r="N26" s="21" t="n">
        <v>1</v>
      </c>
      <c r="O26" s="21" t="n">
        <v>0</v>
      </c>
      <c r="P26" s="13" t="s">
        <v>206</v>
      </c>
      <c r="Q26" s="6" t="s">
        <v>207</v>
      </c>
    </row>
    <row r="27" customFormat="false" ht="36" hidden="false" customHeight="true" outlineLevel="0" collapsed="false">
      <c r="A27" s="4" t="n">
        <v>23</v>
      </c>
      <c r="B27" s="4" t="s">
        <v>208</v>
      </c>
      <c r="C27" s="4" t="s">
        <v>123</v>
      </c>
      <c r="D27" s="19" t="s">
        <v>209</v>
      </c>
      <c r="E27" s="19" t="s">
        <v>164</v>
      </c>
      <c r="F27" s="19" t="s">
        <v>210</v>
      </c>
      <c r="G27" s="20" t="n">
        <v>0</v>
      </c>
      <c r="H27" s="21" t="n">
        <v>2</v>
      </c>
      <c r="I27" s="22" t="n">
        <f aca="false">IF(H27=0,0,G27/H27*12)</f>
        <v>0</v>
      </c>
      <c r="J27" s="17" t="n">
        <v>1</v>
      </c>
      <c r="K27" s="22" t="n">
        <f aca="false">I27*J27</f>
        <v>0</v>
      </c>
      <c r="L27" s="22" t="n">
        <f aca="false">I27-K27</f>
        <v>0</v>
      </c>
      <c r="M27" s="4" t="s">
        <v>133</v>
      </c>
      <c r="N27" s="21" t="n">
        <v>0</v>
      </c>
      <c r="O27" s="21" t="n">
        <v>0</v>
      </c>
      <c r="P27" s="13" t="s">
        <v>211</v>
      </c>
      <c r="Q27" s="6" t="s">
        <v>212</v>
      </c>
    </row>
    <row r="29" customFormat="false" ht="15" hidden="false" customHeight="false" outlineLevel="0" collapsed="false">
      <c r="B29" s="9" t="s">
        <v>213</v>
      </c>
      <c r="I29" s="12" t="n">
        <f aca="false">SUMIFS(L5:L27,E5:E27,"Pre",F5:F27,"Turnkey")/SUMIFS(I5:I27,E5:E27,"Pre",F5:F27,"Turnkey")</f>
        <v>0.979365664550948</v>
      </c>
    </row>
    <row r="30" customFormat="false" ht="15" hidden="false" customHeight="false" outlineLevel="0" collapsed="false">
      <c r="B30" s="9" t="s">
        <v>214</v>
      </c>
      <c r="I30" s="12" t="n">
        <f aca="false">SUMIFS(L5:L27,E5:E27,"Pre")/SUMIFS(I5:I27,E5:E27,"Pre")</f>
        <v>0.971253733874843</v>
      </c>
    </row>
    <row r="31" customFormat="false" ht="15" hidden="false" customHeight="false" outlineLevel="0" collapsed="false">
      <c r="B31" s="23" t="s">
        <v>215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</sheetData>
  <mergeCells count="2">
    <mergeCell ref="A2:Q2"/>
    <mergeCell ref="B31:P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2"/>
    <col collapsed="false" customWidth="true" hidden="false" outlineLevel="0" max="6" min="3" style="0" width="14"/>
  </cols>
  <sheetData>
    <row r="1" customFormat="false" ht="17.35" hidden="false" customHeight="false" outlineLevel="0" collapsed="false">
      <c r="B1" s="1" t="s">
        <v>216</v>
      </c>
    </row>
    <row r="3" customFormat="false" ht="15" hidden="false" customHeight="false" outlineLevel="0" collapsed="false">
      <c r="B3" s="3" t="s">
        <v>217</v>
      </c>
    </row>
    <row r="4" customFormat="false" ht="15" hidden="false" customHeight="false" outlineLevel="0" collapsed="false">
      <c r="B4" s="4" t="s">
        <v>218</v>
      </c>
      <c r="C4" s="10" t="n">
        <v>476</v>
      </c>
    </row>
    <row r="5" customFormat="false" ht="15" hidden="false" customHeight="false" outlineLevel="0" collapsed="false">
      <c r="B5" s="4" t="s">
        <v>219</v>
      </c>
      <c r="C5" s="18" t="n">
        <f aca="false">Margin_Inputs!B9</f>
        <v>434.337</v>
      </c>
    </row>
    <row r="6" customFormat="false" ht="15" hidden="false" customHeight="false" outlineLevel="0" collapsed="false">
      <c r="B6" s="4" t="s">
        <v>220</v>
      </c>
      <c r="C6" s="16" t="n">
        <v>0.72</v>
      </c>
    </row>
    <row r="7" customFormat="false" ht="15" hidden="false" customHeight="false" outlineLevel="0" collapsed="false">
      <c r="B7" s="4" t="s">
        <v>221</v>
      </c>
      <c r="C7" s="11" t="n">
        <f aca="false">C4*C6</f>
        <v>342.72</v>
      </c>
      <c r="D7" s="11" t="n">
        <f aca="false">C4-C7</f>
        <v>133.28</v>
      </c>
    </row>
    <row r="8" customFormat="false" ht="15" hidden="false" customHeight="false" outlineLevel="0" collapsed="false">
      <c r="B8" s="4" t="s">
        <v>222</v>
      </c>
      <c r="C8" s="16" t="n">
        <v>0.04</v>
      </c>
    </row>
    <row r="10" customFormat="false" ht="15" hidden="false" customHeight="false" outlineLevel="0" collapsed="false">
      <c r="B10" s="3" t="s">
        <v>223</v>
      </c>
    </row>
    <row r="11" customFormat="false" ht="15" hidden="false" customHeight="false" outlineLevel="0" collapsed="false">
      <c r="A11" s="8"/>
      <c r="B11" s="8" t="s">
        <v>224</v>
      </c>
      <c r="C11" s="8" t="s">
        <v>225</v>
      </c>
      <c r="D11" s="8" t="s">
        <v>226</v>
      </c>
      <c r="E11" s="8" t="s">
        <v>227</v>
      </c>
    </row>
    <row r="12" customFormat="false" ht="15" hidden="false" customHeight="false" outlineLevel="0" collapsed="false">
      <c r="B12" s="4" t="s">
        <v>228</v>
      </c>
      <c r="C12" s="11" t="n">
        <f aca="false">C7</f>
        <v>342.72</v>
      </c>
      <c r="D12" s="11" t="n">
        <f aca="false">D7</f>
        <v>133.28</v>
      </c>
      <c r="E12" s="11" t="n">
        <f aca="false">C12+D12</f>
        <v>476</v>
      </c>
    </row>
    <row r="13" customFormat="false" ht="15" hidden="false" customHeight="false" outlineLevel="0" collapsed="false">
      <c r="B13" s="4" t="s">
        <v>229</v>
      </c>
      <c r="C13" s="18" t="n">
        <f aca="false">SUMIFS(Contracts!L5:L27,Contracts!N5:N27,1,Contracts!F5:F27,"&lt;&gt;Reduction")</f>
        <v>17.17504896</v>
      </c>
      <c r="D13" s="18" t="n">
        <f aca="false">SUMIFS(Contracts!K5:K27,Contracts!N5:N27,1,Contracts!F5:F27,"&lt;&gt;Reduction")</f>
        <v>0.71562704</v>
      </c>
      <c r="E13" s="11" t="n">
        <f aca="false">C13+D13</f>
        <v>17.890676</v>
      </c>
    </row>
    <row r="14" customFormat="false" ht="15" hidden="false" customHeight="false" outlineLevel="0" collapsed="false">
      <c r="B14" s="4" t="s">
        <v>230</v>
      </c>
      <c r="C14" s="18" t="n">
        <f aca="false">SUMIFS(Contracts!L5:L27,Contracts!N5:N27,1,Contracts!F5:F27,"Reduction")</f>
        <v>-4</v>
      </c>
      <c r="D14" s="18" t="n">
        <f aca="false">SUMIFS(Contracts!K5:K27,Contracts!N5:N27,1,Contracts!F5:F27,"Reduction")</f>
        <v>0</v>
      </c>
      <c r="E14" s="11" t="n">
        <f aca="false">C14+D14</f>
        <v>-4</v>
      </c>
    </row>
    <row r="15" customFormat="false" ht="15" hidden="false" customHeight="false" outlineLevel="0" collapsed="false">
      <c r="B15" s="9" t="s">
        <v>231</v>
      </c>
      <c r="C15" s="11" t="n">
        <f aca="false">SUM(C12:C14)</f>
        <v>355.89504896</v>
      </c>
      <c r="D15" s="11" t="n">
        <f aca="false">SUM(D12:D14)</f>
        <v>133.99562704</v>
      </c>
      <c r="E15" s="11" t="n">
        <f aca="false">C15+D15</f>
        <v>489.890676</v>
      </c>
    </row>
    <row r="17" customFormat="false" ht="15" hidden="false" customHeight="false" outlineLevel="0" collapsed="false">
      <c r="B17" s="4" t="s">
        <v>232</v>
      </c>
      <c r="D17" s="12" t="n">
        <f aca="false">IF(E13=0,0,C13/E13)</f>
        <v>0.96</v>
      </c>
    </row>
    <row r="18" customFormat="false" ht="15" hidden="false" customHeight="false" outlineLevel="0" collapsed="false">
      <c r="B18" s="4" t="s">
        <v>233</v>
      </c>
      <c r="D18" s="11" t="n">
        <f aca="false">E13+E14</f>
        <v>13.890676</v>
      </c>
    </row>
    <row r="24" customFormat="false" ht="15" hidden="false" customHeight="false" outlineLevel="0" collapsed="false">
      <c r="B24" s="9" t="s">
        <v>234</v>
      </c>
      <c r="D24" s="12" t="n">
        <f aca="false">C15/E15</f>
        <v>0.726478511217878</v>
      </c>
    </row>
    <row r="25" customFormat="false" ht="15" hidden="false" customHeight="false" outlineLevel="0" collapsed="false">
      <c r="B25" s="4" t="s">
        <v>235</v>
      </c>
      <c r="D25" s="24" t="n">
        <f aca="false">D24-C6</f>
        <v>0.00647851121787835</v>
      </c>
    </row>
    <row r="27" customFormat="false" ht="15" hidden="false" customHeight="false" outlineLevel="0" collapsed="false">
      <c r="B27" s="3" t="s">
        <v>236</v>
      </c>
    </row>
    <row r="28" customFormat="false" ht="15" hidden="false" customHeight="false" outlineLevel="0" collapsed="false">
      <c r="B28" s="4" t="s">
        <v>237</v>
      </c>
      <c r="C28" s="10" t="n">
        <v>40</v>
      </c>
    </row>
    <row r="29" customFormat="false" ht="15" hidden="false" customHeight="false" outlineLevel="0" collapsed="false">
      <c r="B29" s="4" t="s">
        <v>238</v>
      </c>
      <c r="C29" s="12" t="n">
        <f aca="false">C8</f>
        <v>0.04</v>
      </c>
    </row>
    <row r="30" customFormat="false" ht="15" hidden="false" customHeight="false" outlineLevel="0" collapsed="false">
      <c r="B30" s="4" t="s">
        <v>239</v>
      </c>
      <c r="C30" s="18" t="n">
        <f aca="false">SUMIFS(Contracts!L5:L27,Contracts!N5:N27,1,Contracts!O5:O27,0)</f>
        <v>5.58673472</v>
      </c>
      <c r="D30" s="18" t="n">
        <f aca="false">SUMIFS(Contracts!K5:K27,Contracts!N5:N27,1,Contracts!O5:O27,0)</f>
        <v>0.39944728</v>
      </c>
    </row>
    <row r="31" customFormat="false" ht="15" hidden="false" customHeight="false" outlineLevel="0" collapsed="false">
      <c r="B31" s="4" t="s">
        <v>240</v>
      </c>
      <c r="C31" s="11" t="n">
        <f aca="false">C28*(1-C29)</f>
        <v>38.4</v>
      </c>
      <c r="D31" s="11" t="n">
        <f aca="false">C28*C29</f>
        <v>1.6</v>
      </c>
    </row>
    <row r="32" customFormat="false" ht="15" hidden="false" customHeight="false" outlineLevel="0" collapsed="false">
      <c r="B32" s="9" t="s">
        <v>241</v>
      </c>
      <c r="C32" s="11" t="n">
        <f aca="false">C12+C30+C31</f>
        <v>386.70673472</v>
      </c>
      <c r="D32" s="11" t="n">
        <f aca="false">D12+D30+D31</f>
        <v>135.27944728</v>
      </c>
      <c r="E32" s="11" t="n">
        <f aca="false">C32+D32</f>
        <v>521.986182</v>
      </c>
    </row>
    <row r="33" customFormat="false" ht="15" hidden="false" customHeight="false" outlineLevel="0" collapsed="false">
      <c r="B33" s="9" t="s">
        <v>242</v>
      </c>
      <c r="D33" s="12" t="n">
        <f aca="false">C32/E32</f>
        <v>0.740837110358603</v>
      </c>
    </row>
    <row r="36" customFormat="false" ht="15" hidden="false" customHeight="false" outlineLevel="0" collapsed="false">
      <c r="B36" s="3" t="s">
        <v>243</v>
      </c>
    </row>
    <row r="37" customFormat="false" ht="15" hidden="false" customHeight="false" outlineLevel="0" collapsed="false">
      <c r="B37" s="4" t="s">
        <v>244</v>
      </c>
      <c r="C37" s="10" t="n">
        <v>543</v>
      </c>
    </row>
    <row r="38" customFormat="false" ht="15" hidden="false" customHeight="false" outlineLevel="0" collapsed="false">
      <c r="B38" s="4" t="s">
        <v>245</v>
      </c>
      <c r="C38" s="11" t="n">
        <f aca="false">E32-C4</f>
        <v>45.986182</v>
      </c>
    </row>
    <row r="39" customFormat="false" ht="15" hidden="false" customHeight="false" outlineLevel="0" collapsed="false">
      <c r="B39" s="4" t="s">
        <v>246</v>
      </c>
      <c r="C39" s="11" t="n">
        <f aca="false">C37-E32</f>
        <v>21.013818</v>
      </c>
    </row>
    <row r="40" customFormat="false" ht="15" hidden="false" customHeight="false" outlineLevel="0" collapsed="false">
      <c r="B40" s="4" t="s">
        <v>247</v>
      </c>
      <c r="C40" s="16" t="n">
        <v>0.72</v>
      </c>
    </row>
    <row r="41" customFormat="false" ht="15" hidden="false" customHeight="false" outlineLevel="0" collapsed="false">
      <c r="B41" s="6" t="s">
        <v>248</v>
      </c>
    </row>
    <row r="42" customFormat="false" ht="15" hidden="false" customHeight="false" outlineLevel="0" collapsed="false">
      <c r="B42" s="4" t="s">
        <v>249</v>
      </c>
      <c r="C42" s="11" t="n">
        <f aca="false">C32+C39*C40</f>
        <v>401.83668368</v>
      </c>
      <c r="D42" s="11" t="n">
        <f aca="false">D32+C39*(1-C40)</f>
        <v>141.16331632</v>
      </c>
      <c r="E42" s="11" t="n">
        <f aca="false">C42+D42</f>
        <v>543</v>
      </c>
    </row>
    <row r="44" customFormat="false" ht="15" hidden="false" customHeight="false" outlineLevel="0" collapsed="false">
      <c r="B44" s="9" t="s">
        <v>250</v>
      </c>
      <c r="D44" s="12" t="n">
        <f aca="false">C42/E42</f>
        <v>0.740030725009208</v>
      </c>
    </row>
    <row r="47" customFormat="false" ht="15" hidden="false" customHeight="false" outlineLevel="0" collapsed="false">
      <c r="B47" s="3" t="s">
        <v>251</v>
      </c>
    </row>
    <row r="48" customFormat="false" ht="15" hidden="false" customHeight="false" outlineLevel="0" collapsed="false">
      <c r="B48" s="4" t="s">
        <v>252</v>
      </c>
      <c r="D48" s="5" t="n">
        <f aca="false">Margin_Decomp!I16</f>
        <v>0.692043157039473</v>
      </c>
    </row>
    <row r="49" customFormat="false" ht="15" hidden="false" customHeight="false" outlineLevel="0" collapsed="false">
      <c r="B49" s="4" t="s">
        <v>253</v>
      </c>
      <c r="D49" s="12" t="n">
        <f aca="false">1-Margin_Decomp!I13/(D24*Margin_Decomp!I11)</f>
        <v>0.256972292840608</v>
      </c>
    </row>
    <row r="50" customFormat="false" ht="15" hidden="false" customHeight="false" outlineLevel="0" collapsed="false">
      <c r="B50" s="4" t="s">
        <v>254</v>
      </c>
      <c r="D50" s="12" t="n">
        <f aca="false">(Margin_Decomp!I11*(1-D24)-Margin_Decomp!I14)/(Margin_Decomp!I11*(1-D24))</f>
        <v>0.8154477806698</v>
      </c>
    </row>
    <row r="51" customFormat="false" ht="15" hidden="false" customHeight="false" outlineLevel="0" collapsed="false">
      <c r="B51" s="4" t="s">
        <v>255</v>
      </c>
      <c r="D51" s="12" t="n">
        <f aca="false">1-Margin_Decomp!I13/(D33*Margin_Decomp!I11)</f>
        <v>0.2713733492245</v>
      </c>
    </row>
    <row r="54" customFormat="false" ht="15" hidden="false" customHeight="false" outlineLevel="0" collapsed="false">
      <c r="B54" s="3" t="s">
        <v>256</v>
      </c>
    </row>
    <row r="55" customFormat="false" ht="15" hidden="false" customHeight="false" outlineLevel="0" collapsed="false">
      <c r="B55" s="4" t="s">
        <v>257</v>
      </c>
      <c r="C55" s="25" t="n">
        <v>847</v>
      </c>
    </row>
    <row r="56" customFormat="false" ht="15" hidden="false" customHeight="false" outlineLevel="0" collapsed="false">
      <c r="B56" s="4" t="s">
        <v>258</v>
      </c>
      <c r="C56" s="17" t="n">
        <v>0.2</v>
      </c>
    </row>
    <row r="57" customFormat="false" ht="15" hidden="false" customHeight="false" outlineLevel="0" collapsed="false">
      <c r="B57" s="4" t="s">
        <v>259</v>
      </c>
      <c r="C57" s="26" t="n">
        <f aca="false">C37*D44/(C55*C56)</f>
        <v>2.37211737709563</v>
      </c>
    </row>
    <row r="58" customFormat="false" ht="15" hidden="false" customHeight="false" outlineLevel="0" collapsed="false">
      <c r="B58" s="4" t="s">
        <v>260</v>
      </c>
      <c r="C58" s="26" t="n">
        <f aca="false">C37*(1-D44)/C55</f>
        <v>0.166662711121606</v>
      </c>
    </row>
    <row r="59" customFormat="false" ht="15" hidden="false" customHeight="false" outlineLevel="0" collapsed="false">
      <c r="B59" s="6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7" t="s">
        <v>263</v>
      </c>
    </row>
    <row r="4" customFormat="false" ht="15" hidden="false" customHeight="false" outlineLevel="0" collapsed="false">
      <c r="A4" s="8" t="s">
        <v>264</v>
      </c>
      <c r="B4" s="8" t="s">
        <v>265</v>
      </c>
      <c r="C4" s="8" t="s">
        <v>266</v>
      </c>
    </row>
    <row r="5" customFormat="false" ht="15" hidden="false" customHeight="false" outlineLevel="0" collapsed="false">
      <c r="A5" s="4" t="s">
        <v>267</v>
      </c>
      <c r="B5" s="4" t="s">
        <v>268</v>
      </c>
      <c r="C5" s="4" t="s">
        <v>269</v>
      </c>
    </row>
    <row r="6" customFormat="false" ht="15" hidden="false" customHeight="false" outlineLevel="0" collapsed="false">
      <c r="A6" s="4" t="s">
        <v>270</v>
      </c>
      <c r="B6" s="4" t="s">
        <v>271</v>
      </c>
      <c r="C6" s="4" t="s">
        <v>272</v>
      </c>
    </row>
    <row r="7" customFormat="false" ht="15" hidden="false" customHeight="false" outlineLevel="0" collapsed="false">
      <c r="A7" s="4" t="s">
        <v>273</v>
      </c>
      <c r="B7" s="4" t="s">
        <v>274</v>
      </c>
      <c r="C7" s="4" t="s">
        <v>275</v>
      </c>
    </row>
    <row r="8" customFormat="false" ht="15" hidden="false" customHeight="false" outlineLevel="0" collapsed="false">
      <c r="A8" s="4" t="s">
        <v>276</v>
      </c>
      <c r="B8" s="4" t="s">
        <v>277</v>
      </c>
      <c r="C8" s="4" t="s">
        <v>278</v>
      </c>
    </row>
    <row r="9" customFormat="false" ht="15" hidden="false" customHeight="false" outlineLevel="0" collapsed="false">
      <c r="A9" s="4" t="s">
        <v>279</v>
      </c>
      <c r="B9" s="4" t="s">
        <v>280</v>
      </c>
      <c r="C9" s="4" t="s">
        <v>281</v>
      </c>
    </row>
    <row r="10" customFormat="false" ht="15" hidden="false" customHeight="false" outlineLevel="0" collapsed="false">
      <c r="A10" s="4" t="s">
        <v>282</v>
      </c>
      <c r="B10" s="4" t="s">
        <v>283</v>
      </c>
      <c r="C10" s="4" t="s">
        <v>284</v>
      </c>
    </row>
    <row r="11" customFormat="false" ht="15" hidden="false" customHeight="false" outlineLevel="0" collapsed="false">
      <c r="A11" s="4" t="s">
        <v>285</v>
      </c>
      <c r="B11" s="4" t="s">
        <v>286</v>
      </c>
      <c r="C11" s="4" t="s">
        <v>287</v>
      </c>
    </row>
    <row r="12" customFormat="false" ht="15" hidden="false" customHeight="false" outlineLevel="0" collapsed="false">
      <c r="A12" s="4" t="s">
        <v>288</v>
      </c>
      <c r="B12" s="4" t="s">
        <v>289</v>
      </c>
      <c r="C12" s="4" t="s">
        <v>290</v>
      </c>
    </row>
    <row r="13" customFormat="false" ht="15" hidden="false" customHeight="false" outlineLevel="0" collapsed="false">
      <c r="A13" s="4" t="s">
        <v>291</v>
      </c>
      <c r="B13" s="4" t="s">
        <v>292</v>
      </c>
      <c r="C13" s="4" t="s">
        <v>293</v>
      </c>
    </row>
    <row r="14" customFormat="false" ht="15" hidden="false" customHeight="false" outlineLevel="0" collapsed="false">
      <c r="A14" s="4" t="s">
        <v>294</v>
      </c>
      <c r="B14" s="4" t="s">
        <v>295</v>
      </c>
      <c r="C14" s="4" t="s">
        <v>296</v>
      </c>
    </row>
    <row r="15" customFormat="false" ht="15" hidden="false" customHeight="false" outlineLevel="0" collapsed="false">
      <c r="A15" s="4" t="s">
        <v>172</v>
      </c>
      <c r="B15" s="4" t="s">
        <v>297</v>
      </c>
      <c r="C15" s="4" t="s">
        <v>298</v>
      </c>
    </row>
    <row r="16" customFormat="false" ht="15" hidden="false" customHeight="false" outlineLevel="0" collapsed="false">
      <c r="A16" s="4" t="s">
        <v>176</v>
      </c>
      <c r="B16" s="4" t="s">
        <v>299</v>
      </c>
      <c r="C16" s="4" t="s">
        <v>300</v>
      </c>
    </row>
    <row r="17" customFormat="false" ht="15" hidden="false" customHeight="false" outlineLevel="0" collapsed="false">
      <c r="A17" s="4" t="s">
        <v>186</v>
      </c>
      <c r="B17" s="4" t="s">
        <v>301</v>
      </c>
      <c r="C17" s="4" t="s">
        <v>302</v>
      </c>
    </row>
    <row r="18" customFormat="false" ht="15" hidden="false" customHeight="false" outlineLevel="0" collapsed="false">
      <c r="A18" s="4" t="s">
        <v>190</v>
      </c>
      <c r="B18" s="4" t="s">
        <v>303</v>
      </c>
      <c r="C18" s="4" t="s">
        <v>304</v>
      </c>
    </row>
    <row r="19" customFormat="false" ht="15" hidden="false" customHeight="false" outlineLevel="0" collapsed="false">
      <c r="A19" s="4" t="s">
        <v>180</v>
      </c>
      <c r="B19" s="4" t="s">
        <v>305</v>
      </c>
      <c r="C19" s="4" t="s">
        <v>306</v>
      </c>
    </row>
    <row r="20" customFormat="false" ht="15" hidden="false" customHeight="false" outlineLevel="0" collapsed="false">
      <c r="A20" s="4" t="s">
        <v>194</v>
      </c>
      <c r="B20" s="4" t="s">
        <v>307</v>
      </c>
      <c r="C20" s="4" t="s">
        <v>308</v>
      </c>
    </row>
    <row r="21" customFormat="false" ht="15" hidden="false" customHeight="false" outlineLevel="0" collapsed="false">
      <c r="A21" s="4" t="s">
        <v>198</v>
      </c>
      <c r="B21" s="4" t="s">
        <v>309</v>
      </c>
      <c r="C21" s="4" t="s">
        <v>310</v>
      </c>
    </row>
    <row r="22" customFormat="false" ht="15" hidden="false" customHeight="false" outlineLevel="0" collapsed="false">
      <c r="A22" s="4" t="s">
        <v>202</v>
      </c>
      <c r="B22" s="4" t="s">
        <v>311</v>
      </c>
      <c r="C22" s="4" t="s">
        <v>312</v>
      </c>
    </row>
    <row r="23" customFormat="false" ht="15" hidden="false" customHeight="false" outlineLevel="0" collapsed="false">
      <c r="A23" s="4" t="s">
        <v>207</v>
      </c>
      <c r="B23" s="4" t="s">
        <v>313</v>
      </c>
      <c r="C23" s="4" t="s">
        <v>314</v>
      </c>
    </row>
    <row r="24" customFormat="false" ht="15" hidden="false" customHeight="false" outlineLevel="0" collapsed="false">
      <c r="A24" s="4" t="s">
        <v>167</v>
      </c>
      <c r="B24" s="4" t="s">
        <v>315</v>
      </c>
      <c r="C24" s="4" t="s">
        <v>316</v>
      </c>
    </row>
    <row r="25" customFormat="false" ht="15" hidden="false" customHeight="false" outlineLevel="0" collapsed="false">
      <c r="A25" s="4" t="s">
        <v>317</v>
      </c>
      <c r="B25" s="4" t="s">
        <v>318</v>
      </c>
      <c r="C25" s="4" t="s">
        <v>319</v>
      </c>
    </row>
    <row r="26" customFormat="false" ht="15" hidden="false" customHeight="false" outlineLevel="0" collapsed="false">
      <c r="A26" s="4" t="s">
        <v>212</v>
      </c>
      <c r="B26" s="4" t="s">
        <v>320</v>
      </c>
      <c r="C26" s="4" t="s">
        <v>321</v>
      </c>
    </row>
    <row r="27" customFormat="false" ht="15" hidden="false" customHeight="false" outlineLevel="0" collapsed="false">
      <c r="A27" s="4" t="s">
        <v>149</v>
      </c>
      <c r="B27" s="4" t="s">
        <v>322</v>
      </c>
      <c r="C27" s="4" t="s">
        <v>323</v>
      </c>
    </row>
    <row r="28" customFormat="false" ht="15" hidden="false" customHeight="false" outlineLevel="0" collapsed="false">
      <c r="A28" s="4" t="s">
        <v>324</v>
      </c>
      <c r="B28" s="4" t="s">
        <v>325</v>
      </c>
      <c r="C28" s="4" t="s">
        <v>326</v>
      </c>
    </row>
    <row r="29" customFormat="false" ht="15" hidden="false" customHeight="false" outlineLevel="0" collapsed="false">
      <c r="A29" s="4" t="s">
        <v>161</v>
      </c>
      <c r="B29" s="4" t="s">
        <v>327</v>
      </c>
      <c r="C29" s="4" t="s">
        <v>328</v>
      </c>
    </row>
    <row r="30" customFormat="false" ht="15" hidden="false" customHeight="false" outlineLevel="0" collapsed="false">
      <c r="A30" s="4" t="s">
        <v>130</v>
      </c>
      <c r="B30" s="4" t="s">
        <v>329</v>
      </c>
      <c r="C3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2026-09-24T01:55:28Z</dcterms:created>
  <dc:creator>openpyxl</dc:creator>
  <dc:description/>
  <dc:language>en-US</dc:language>
  <cp:lastModifiedBy/>
  <dcterms:modified xsi:type="dcterms:W3CDTF">2026-09-24T01:55:28Z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