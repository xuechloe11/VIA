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80" windowWidth="25600" windowHeight="14620" tabRatio="500" firstSheet="0" activeTab="3" autoFilterDateGrouping="1"/>
  </bookViews>
  <sheets>
    <sheet name="DCF" sheetId="1" state="visible" r:id="rId1"/>
    <sheet name="Revenue Build" sheetId="2" state="visible" r:id="rId2"/>
    <sheet name="WACC Calculations" sheetId="3" state="visible" r:id="rId3"/>
    <sheet name="Supporting Tabs &gt;&gt;&gt;" sheetId="4" state="visible" r:id="rId4"/>
    <sheet name="Consensus (BBG)" sheetId="5" state="hidden" r:id="rId5"/>
    <sheet name="Annual IS" sheetId="6" state="visible" r:id="rId6"/>
    <sheet name="Key Stats" sheetId="7" state="hidden" r:id="rId7"/>
    <sheet name="Quarterly IS" sheetId="8" state="visible" r:id="rId8"/>
    <sheet name="BS" sheetId="9" state="visible" r:id="rId9"/>
    <sheet name="CFS" sheetId="10" state="visible" r:id="rId10"/>
  </sheets>
  <definedNames>
    <definedName name="CIQWBGuid" hidden="1">"2cd8126d-26c3-430c-b7fa-a069e3a1fc62"</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43412.7003240741</definedName>
    <definedName name="IQ_QTD" hidden="1">750000</definedName>
    <definedName name="IQ_TODAY" hidden="1">0</definedName>
    <definedName name="IQ_YTDMONTH" hidden="1">130000</definedName>
    <definedName name="_xlnm.Print_Titles" localSheetId="5">'Annual IS'!$1:$3</definedName>
    <definedName name="_xlnm.Print_Titles" localSheetId="6">'Key Stats'!$1:$3</definedName>
    <definedName name="_xlnm.Print_Titles" localSheetId="7">'Quarterly IS'!$1:$3</definedName>
    <definedName name="_xlnm.Print_Titles" localSheetId="8">'BS'!$1:$3</definedName>
    <definedName name="_xlnm.Print_Titles" localSheetId="9">'CFS'!$1:$3</definedName>
  </definedNames>
  <calcPr calcId="124519" fullCalcOnLoad="1"/>
</workbook>
</file>

<file path=xl/styles.xml><?xml version="1.0" encoding="utf-8"?>
<styleSheet xmlns="http://schemas.openxmlformats.org/spreadsheetml/2006/main">
  <numFmts count="24">
    <numFmt numFmtId="164" formatCode="0.0%"/>
    <numFmt numFmtId="165" formatCode="_(#,##0.0%_);_(\(#,##0.0%\)_);_(#,##0.0%_)"/>
    <numFmt numFmtId="166" formatCode="_(* #,##0_);_(* \(#,##0\);_(* \-??_);_(@_)"/>
    <numFmt numFmtId="167" formatCode="_(* #,##0.0_);_(* \(#,##0.0\);_(* \-??_);_(@_)"/>
    <numFmt numFmtId="168" formatCode="_(#,##0.0%_);\(#,##0.0%\);_(\-_)_%;_(@_)_%"/>
    <numFmt numFmtId="169" formatCode="\$#,##0.00_);&quot;($&quot;#,##0.00\)"/>
    <numFmt numFmtId="170" formatCode="mm/dd/yyyy"/>
    <numFmt numFmtId="171" formatCode="0.0\x"/>
    <numFmt numFmtId="172" formatCode="#,##0.0_);\(#,##0.0\)"/>
    <numFmt numFmtId="173" formatCode="#,##0;\(#,##0\);\-"/>
    <numFmt numFmtId="174" formatCode="0.0"/>
    <numFmt numFmtId="175" formatCode="#,##0.0"/>
    <numFmt numFmtId="176" formatCode="_(* #,##0.0_);_(* \(#,##0.0\)_)\ ;_(* 0_)"/>
    <numFmt numFmtId="177" formatCode="_(&quot;$&quot;#,##0.0#_);_(\(&quot;$&quot;#,##0.0#\)_);_(&quot;$&quot;&quot; - &quot;_)"/>
    <numFmt numFmtId="178" formatCode="_(* #,##0.0#_);_(* \(#,##0.0#\)_)\ ;_(* 0_)"/>
    <numFmt numFmtId="179" formatCode="_(#,##0.00%_);_(\(#,##0.00%\)_);_(#,##0.00%_)"/>
    <numFmt numFmtId="180" formatCode="#,##0.0\x"/>
    <numFmt numFmtId="181" formatCode="#,##0.00\x"/>
    <numFmt numFmtId="182" formatCode="mmm\-dd\-yyyy"/>
    <numFmt numFmtId="183" formatCode="_(* #,##0_);_(* \(#,##0\)_)\ ;_(* 0_)"/>
    <numFmt numFmtId="184" formatCode="#,##0.0;\(#,##0.0\);\-"/>
    <numFmt numFmtId="185" formatCode="\$#,##0.00"/>
    <numFmt numFmtId="186" formatCode="yyyy\-mm\-dd\ h:mm:ss"/>
    <numFmt numFmtId="187" formatCode="_-* #,##0.00_-;\-* #,##0.00_-;_-* \-??_-;_-@_-"/>
  </numFmts>
  <fonts count="46">
    <font>
      <name val="Arial"/>
      <charset val="1"/>
      <family val="2"/>
      <sz val="10"/>
    </font>
    <font>
      <name val="Bookman"/>
      <charset val="1"/>
      <family val="1"/>
      <sz val="10"/>
    </font>
    <font>
      <name val="Arial"/>
      <charset val="1"/>
      <family val="2"/>
      <color theme="10"/>
      <sz val="10"/>
      <u val="single"/>
    </font>
    <font>
      <name val="Symbol"/>
      <charset val="2"/>
      <family val="1"/>
      <color rgb="FFFFFFFF"/>
      <sz val="1"/>
    </font>
    <font>
      <name val="Symbol"/>
      <charset val="2"/>
      <color rgb="FFFFFFFF"/>
      <sz val="1"/>
    </font>
    <font>
      <name val="Symbol"/>
      <charset val="2"/>
      <sz val="1"/>
    </font>
    <font>
      <name val="Calibri"/>
      <charset val="1"/>
      <family val="2"/>
      <color theme="1"/>
      <sz val="11"/>
    </font>
    <font>
      <name val="Arial"/>
      <charset val="1"/>
      <family val="2"/>
      <color theme="1"/>
      <sz val="10"/>
    </font>
    <font>
      <name val="Arial"/>
      <charset val="1"/>
      <family val="2"/>
      <color theme="0"/>
      <sz val="10"/>
    </font>
    <font>
      <name val="Arial"/>
      <charset val="1"/>
      <family val="2"/>
      <i val="1"/>
      <color theme="1"/>
      <sz val="10"/>
    </font>
    <font>
      <name val="Arial"/>
      <charset val="1"/>
      <family val="2"/>
      <b val="1"/>
      <color theme="1"/>
      <sz val="10"/>
    </font>
    <font>
      <name val="Arial"/>
      <charset val="1"/>
      <family val="2"/>
      <b val="1"/>
      <sz val="10"/>
    </font>
    <font>
      <name val="Arial"/>
      <charset val="1"/>
      <family val="2"/>
      <color rgb="FF0000FF"/>
      <sz val="10"/>
    </font>
    <font>
      <name val="Arial"/>
      <charset val="1"/>
      <family val="2"/>
      <i val="1"/>
      <sz val="10"/>
    </font>
    <font>
      <name val="Arial"/>
      <charset val="1"/>
      <family val="2"/>
      <b val="1"/>
      <color rgb="FF000000"/>
      <sz val="10"/>
    </font>
    <font>
      <name val="Arial"/>
      <charset val="1"/>
      <family val="2"/>
      <color rgb="FF008000"/>
      <sz val="10"/>
    </font>
    <font>
      <name val="Arial"/>
      <charset val="1"/>
      <family val="2"/>
      <color rgb="FF000000"/>
      <sz val="10"/>
    </font>
    <font>
      <name val="Arial"/>
      <charset val="1"/>
      <family val="2"/>
      <b val="1"/>
      <i val="1"/>
      <color theme="1"/>
      <sz val="10"/>
    </font>
    <font>
      <name val="Arial"/>
      <charset val="1"/>
      <family val="2"/>
      <i val="1"/>
      <color rgb="FF0000FF"/>
      <sz val="10"/>
    </font>
    <font>
      <name val="Arial"/>
      <charset val="1"/>
      <family val="2"/>
      <i val="1"/>
      <color rgb="FF000000"/>
      <sz val="10"/>
    </font>
    <font>
      <name val="Arial"/>
      <charset val="1"/>
      <family val="2"/>
      <color theme="0" tint="-0.0499893185216834"/>
      <sz val="10"/>
    </font>
    <font>
      <name val="Arial"/>
      <charset val="1"/>
      <family val="2"/>
      <i val="1"/>
      <color theme="0" tint="-0.0499893185216834"/>
      <sz val="10"/>
    </font>
    <font>
      <name val="Arial"/>
      <charset val="1"/>
      <family val="2"/>
      <sz val="10"/>
    </font>
    <font>
      <name val="Arial"/>
      <family val="2"/>
      <sz val="10"/>
    </font>
    <font>
      <name val="Verdana"/>
      <family val="2"/>
      <b val="1"/>
      <color indexed="8"/>
      <sz val="13"/>
    </font>
    <font>
      <name val="Arial"/>
      <family val="2"/>
      <sz val="8"/>
    </font>
    <font>
      <name val="Arial"/>
      <family val="2"/>
      <i val="1"/>
      <sz val="8"/>
    </font>
    <font>
      <name val="Arial"/>
      <family val="2"/>
      <b val="1"/>
      <sz val="8"/>
    </font>
    <font>
      <name val="Arial"/>
      <family val="2"/>
      <color indexed="8"/>
      <sz val="8"/>
    </font>
    <font>
      <name val="Verdana"/>
      <family val="2"/>
      <b val="1"/>
      <color indexed="9"/>
      <sz val="8"/>
    </font>
    <font>
      <name val="Symbol"/>
      <charset val="2"/>
      <color indexed="9"/>
      <sz val="1"/>
    </font>
    <font>
      <name val="Arial"/>
      <family val="2"/>
      <b val="1"/>
      <color indexed="8"/>
      <sz val="8"/>
    </font>
    <font>
      <name val="Arial"/>
      <family val="2"/>
      <b val="1"/>
      <i val="1"/>
      <color indexed="8"/>
      <sz val="8"/>
    </font>
    <font>
      <name val="Arial"/>
      <family val="2"/>
      <i val="1"/>
      <color indexed="8"/>
      <sz val="8"/>
    </font>
    <font>
      <name val="Verdana"/>
      <family val="2"/>
      <b val="1"/>
      <color theme="1"/>
      <sz val="8"/>
    </font>
    <font>
      <name val="Arial"/>
      <family val="2"/>
      <color theme="1"/>
      <sz val="8"/>
    </font>
    <font>
      <name val="Symbol"/>
      <charset val="2"/>
      <color theme="1"/>
      <sz val="1"/>
    </font>
    <font>
      <name val="Arial"/>
      <family val="2"/>
      <b val="1"/>
      <color theme="1"/>
      <sz val="8"/>
    </font>
    <font>
      <name val="Arial"/>
      <family val="2"/>
      <b val="1"/>
      <i val="1"/>
      <color theme="1"/>
      <sz val="8"/>
    </font>
    <font>
      <name val="Arial"/>
      <family val="2"/>
      <b val="1"/>
      <color theme="1"/>
      <sz val="8"/>
      <u val="double"/>
    </font>
    <font>
      <name val="Arial"/>
      <family val="2"/>
      <b val="1"/>
      <color theme="1"/>
      <sz val="8"/>
      <u val="single"/>
    </font>
    <font>
      <name val="Arial"/>
      <family val="2"/>
      <b val="1"/>
      <sz val="9"/>
    </font>
    <font>
      <name val="Arial"/>
      <family val="2"/>
      <sz val="9"/>
    </font>
    <font>
      <name val="Arial"/>
      <family val="2"/>
      <i val="1"/>
      <sz val="9"/>
    </font>
    <font>
      <name val="Arial"/>
      <charset val="1"/>
      <family val="2"/>
      <b val="1"/>
      <color rgb="FF008000"/>
      <sz val="10"/>
    </font>
    <font>
      <name val="Arial"/>
      <charset val="1"/>
      <family val="2"/>
      <i val="1"/>
      <color rgb="FF008000"/>
      <sz val="10"/>
    </font>
  </fonts>
  <fills count="9">
    <fill>
      <patternFill/>
    </fill>
    <fill>
      <patternFill patternType="gray125"/>
    </fill>
    <fill>
      <patternFill patternType="solid">
        <fgColor theme="0"/>
        <bgColor rgb="FFF2F2F2"/>
      </patternFill>
    </fill>
    <fill>
      <patternFill patternType="solid">
        <fgColor theme="0" tint="-0.0499893185216834"/>
        <bgColor rgb="FFFFFFFF"/>
      </patternFill>
    </fill>
    <fill>
      <patternFill patternType="solid">
        <fgColor theme="0" tint="-0.0499893185216834"/>
        <bgColor rgb="FFFFE699"/>
      </patternFill>
    </fill>
    <fill>
      <patternFill patternType="solid">
        <fgColor indexed="56"/>
        <bgColor indexed="64"/>
      </patternFill>
    </fill>
    <fill>
      <patternFill patternType="solid">
        <fgColor indexed="60"/>
        <bgColor indexed="64"/>
      </patternFill>
    </fill>
    <fill>
      <patternFill patternType="solid">
        <fgColor theme="4" tint="0.7999816888943144"/>
        <bgColor rgb="FFFFE699"/>
      </patternFill>
    </fill>
    <fill>
      <patternFill patternType="solid">
        <fgColor theme="4" tint="0.7999816888943144"/>
        <bgColor indexed="64"/>
      </patternFill>
    </fill>
  </fills>
  <borders count="19">
    <border>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top style="thin">
        <color auto="1"/>
      </top>
      <bottom/>
      <diagonal/>
    </border>
    <border>
      <left/>
      <right/>
      <top style="thin">
        <color indexed="8"/>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style="thin">
        <color auto="1"/>
      </right>
      <top style="thin">
        <color auto="1"/>
      </top>
      <bottom/>
      <diagonal/>
    </border>
  </borders>
  <cellStyleXfs count="11">
    <xf numFmtId="0" fontId="22" fillId="0" borderId="0"/>
    <xf numFmtId="187" fontId="1" fillId="0" borderId="0"/>
    <xf numFmtId="0" fontId="2" fillId="0" borderId="0"/>
    <xf numFmtId="0" fontId="3" fillId="0" borderId="0"/>
    <xf numFmtId="0" fontId="4" fillId="0" borderId="0"/>
    <xf numFmtId="0" fontId="5" fillId="0" borderId="0"/>
    <xf numFmtId="0" fontId="22" fillId="0" borderId="0"/>
    <xf numFmtId="0" fontId="6" fillId="0" borderId="0"/>
    <xf numFmtId="9" fontId="22" fillId="0" borderId="0"/>
    <xf numFmtId="0" fontId="23" fillId="0" borderId="0"/>
    <xf numFmtId="0" fontId="30" fillId="0" borderId="0"/>
  </cellStyleXfs>
  <cellXfs count="279">
    <xf numFmtId="0" fontId="0" fillId="0" borderId="0" pivotButton="0" quotePrefix="0" xfId="0"/>
    <xf numFmtId="0" fontId="7" fillId="0" borderId="0" pivotButton="0" quotePrefix="0" xfId="0"/>
    <xf numFmtId="0" fontId="8" fillId="0" borderId="0" pivotButton="0" quotePrefix="0" xfId="0"/>
    <xf numFmtId="0" fontId="11" fillId="0" borderId="0" applyAlignment="1" pivotButton="0" quotePrefix="0" xfId="0">
      <alignment horizontal="center"/>
    </xf>
    <xf numFmtId="0" fontId="11" fillId="0" borderId="1" applyAlignment="1" pivotButton="0" quotePrefix="0" xfId="0">
      <alignment horizontal="center"/>
    </xf>
    <xf numFmtId="0" fontId="0" fillId="0" borderId="3" applyAlignment="1" pivotButton="0" quotePrefix="0" xfId="0">
      <alignment horizontal="left"/>
    </xf>
    <xf numFmtId="37" fontId="0" fillId="0" borderId="4" pivotButton="0" quotePrefix="0" xfId="0"/>
    <xf numFmtId="0" fontId="10" fillId="0" borderId="0" pivotButton="0" quotePrefix="0" xfId="0"/>
    <xf numFmtId="0" fontId="0" fillId="0" borderId="5" applyAlignment="1" pivotButton="0" quotePrefix="0" xfId="0">
      <alignment horizontal="left"/>
    </xf>
    <xf numFmtId="164" fontId="12" fillId="0" borderId="1" pivotButton="0" quotePrefix="0" xfId="0"/>
    <xf numFmtId="165" fontId="9" fillId="0" borderId="1" pivotButton="0" quotePrefix="0" xfId="0"/>
    <xf numFmtId="0" fontId="0" fillId="0" borderId="6" pivotButton="0" quotePrefix="0" xfId="0"/>
    <xf numFmtId="37" fontId="7" fillId="0" borderId="7" pivotButton="0" quotePrefix="0" xfId="0"/>
    <xf numFmtId="0" fontId="0" fillId="0" borderId="1" pivotButton="0" quotePrefix="0" xfId="0"/>
    <xf numFmtId="37" fontId="7" fillId="0" borderId="1" pivotButton="0" quotePrefix="0" xfId="0"/>
    <xf numFmtId="37" fontId="0" fillId="0" borderId="1" pivotButton="0" quotePrefix="0" xfId="0"/>
    <xf numFmtId="9" fontId="13" fillId="0" borderId="1" pivotButton="0" quotePrefix="0" xfId="0"/>
    <xf numFmtId="166" fontId="0" fillId="0" borderId="1" pivotButton="0" quotePrefix="0" xfId="0"/>
    <xf numFmtId="0" fontId="0" fillId="0" borderId="5" pivotButton="0" quotePrefix="0" xfId="0"/>
    <xf numFmtId="166" fontId="0" fillId="0" borderId="8" pivotButton="0" quotePrefix="0" xfId="0"/>
    <xf numFmtId="37" fontId="7" fillId="0" borderId="8" pivotButton="0" quotePrefix="0" xfId="0"/>
    <xf numFmtId="0" fontId="11" fillId="0" borderId="0" pivotButton="0" quotePrefix="0" xfId="0"/>
    <xf numFmtId="37" fontId="11" fillId="0" borderId="1" pivotButton="0" quotePrefix="0" xfId="0"/>
    <xf numFmtId="167" fontId="0" fillId="0" borderId="1" pivotButton="0" quotePrefix="0" xfId="0"/>
    <xf numFmtId="0" fontId="13" fillId="0" borderId="0" pivotButton="0" quotePrefix="0" xfId="0"/>
    <xf numFmtId="168" fontId="13" fillId="0" borderId="1" pivotButton="0" quotePrefix="0" xfId="0"/>
    <xf numFmtId="166" fontId="15" fillId="0" borderId="1" pivotButton="0" quotePrefix="0" xfId="0"/>
    <xf numFmtId="37" fontId="15" fillId="0" borderId="7" pivotButton="0" quotePrefix="0" xfId="0"/>
    <xf numFmtId="37" fontId="15" fillId="0" borderId="8" pivotButton="0" quotePrefix="0" xfId="0"/>
    <xf numFmtId="167" fontId="12" fillId="0" borderId="1" pivotButton="0" quotePrefix="0" xfId="0"/>
    <xf numFmtId="169" fontId="0" fillId="0" borderId="1" pivotButton="0" quotePrefix="0" xfId="0"/>
    <xf numFmtId="0" fontId="13" fillId="0" borderId="0" applyAlignment="1" pivotButton="0" quotePrefix="0" xfId="0">
      <alignment horizontal="center"/>
    </xf>
    <xf numFmtId="0" fontId="13" fillId="0" borderId="0" applyAlignment="1" pivotButton="0" quotePrefix="0" xfId="0">
      <alignment horizontal="left"/>
    </xf>
    <xf numFmtId="0" fontId="17" fillId="0" borderId="9" pivotButton="0" quotePrefix="0" xfId="0"/>
    <xf numFmtId="168" fontId="17" fillId="0" borderId="10" pivotButton="0" quotePrefix="0" xfId="0"/>
    <xf numFmtId="170" fontId="12" fillId="0" borderId="0" pivotButton="0" quotePrefix="0" xfId="0"/>
    <xf numFmtId="37" fontId="16" fillId="0" borderId="4" pivotButton="0" quotePrefix="0" xfId="0"/>
    <xf numFmtId="171" fontId="12" fillId="0" borderId="1" pivotButton="0" quotePrefix="0" xfId="0"/>
    <xf numFmtId="172" fontId="15" fillId="0" borderId="7" pivotButton="0" quotePrefix="0" xfId="0"/>
    <xf numFmtId="172" fontId="15" fillId="0" borderId="8" pivotButton="0" quotePrefix="0" xfId="0"/>
    <xf numFmtId="172" fontId="0" fillId="0" borderId="7" pivotButton="0" quotePrefix="0" xfId="0"/>
    <xf numFmtId="164" fontId="13" fillId="0" borderId="0" pivotButton="0" quotePrefix="0" xfId="0"/>
    <xf numFmtId="164" fontId="13" fillId="0" borderId="1" pivotButton="0" quotePrefix="0" xfId="0"/>
    <xf numFmtId="169" fontId="0" fillId="0" borderId="4" pivotButton="0" quotePrefix="0" xfId="0"/>
    <xf numFmtId="169" fontId="0" fillId="0" borderId="8" pivotButton="0" quotePrefix="0" xfId="0"/>
    <xf numFmtId="0" fontId="17" fillId="0" borderId="5" pivotButton="0" quotePrefix="0" xfId="0"/>
    <xf numFmtId="168" fontId="17" fillId="0" borderId="8" pivotButton="0" quotePrefix="0" xfId="0"/>
    <xf numFmtId="0" fontId="14" fillId="0" borderId="0" applyAlignment="1" pivotButton="0" quotePrefix="0" xfId="0">
      <alignment horizontal="left" vertical="top"/>
    </xf>
    <xf numFmtId="173" fontId="16" fillId="0" borderId="0" pivotButton="0" quotePrefix="0" xfId="0"/>
    <xf numFmtId="173" fontId="12" fillId="0" borderId="1" pivotButton="0" quotePrefix="0" xfId="0"/>
    <xf numFmtId="173" fontId="14" fillId="0" borderId="0" pivotButton="0" quotePrefix="0" xfId="0"/>
    <xf numFmtId="173" fontId="14" fillId="0" borderId="1" pivotButton="0" quotePrefix="0" xfId="0"/>
    <xf numFmtId="164" fontId="19" fillId="0" borderId="7" pivotButton="0" quotePrefix="0" xfId="0"/>
    <xf numFmtId="164" fontId="19" fillId="0" borderId="8" pivotButton="0" quotePrefix="0" xfId="0"/>
    <xf numFmtId="0" fontId="7" fillId="3" borderId="0" applyAlignment="1" pivotButton="0" quotePrefix="0" xfId="0">
      <alignment horizontal="left"/>
    </xf>
    <xf numFmtId="164" fontId="21" fillId="3" borderId="1" pivotButton="0" quotePrefix="0" xfId="0"/>
    <xf numFmtId="164" fontId="19" fillId="3" borderId="0" pivotButton="0" quotePrefix="0" xfId="0"/>
    <xf numFmtId="174" fontId="12" fillId="0" borderId="1" pivotButton="0" quotePrefix="0" xfId="0"/>
    <xf numFmtId="0" fontId="10" fillId="0" borderId="0" applyAlignment="1" pivotButton="0" quotePrefix="0" xfId="0">
      <alignment wrapText="1"/>
    </xf>
    <xf numFmtId="0" fontId="0" fillId="0" borderId="0" applyAlignment="1" pivotButton="0" quotePrefix="0" xfId="0">
      <alignment horizontal="left"/>
    </xf>
    <xf numFmtId="164" fontId="19" fillId="0" borderId="0" pivotButton="0" quotePrefix="0" xfId="0"/>
    <xf numFmtId="164" fontId="16" fillId="0" borderId="1" pivotButton="0" quotePrefix="0" xfId="0"/>
    <xf numFmtId="167" fontId="7" fillId="0" borderId="1" pivotButton="0" quotePrefix="0" xfId="0"/>
    <xf numFmtId="10" fontId="0" fillId="0" borderId="8" pivotButton="0" quotePrefix="0" xfId="0"/>
    <xf numFmtId="10" fontId="0" fillId="0" borderId="0" pivotButton="0" quotePrefix="0" xfId="0"/>
    <xf numFmtId="0" fontId="13" fillId="0" borderId="6" applyAlignment="1" pivotButton="0" quotePrefix="0" xfId="0">
      <alignment horizontal="left" indent="1"/>
    </xf>
    <xf numFmtId="164" fontId="0" fillId="0" borderId="1" pivotButton="0" quotePrefix="0" xfId="0"/>
    <xf numFmtId="2" fontId="11" fillId="0" borderId="0" applyAlignment="1" pivotButton="0" quotePrefix="0" xfId="0">
      <alignment horizontal="left"/>
    </xf>
    <xf numFmtId="2" fontId="11" fillId="0" borderId="0" applyAlignment="1" pivotButton="0" quotePrefix="0" xfId="0">
      <alignment horizontal="right"/>
    </xf>
    <xf numFmtId="10" fontId="0" fillId="0" borderId="1" pivotButton="0" quotePrefix="0" xfId="0"/>
    <xf numFmtId="0" fontId="11" fillId="0" borderId="5" pivotButton="0" quotePrefix="0" xfId="0"/>
    <xf numFmtId="164" fontId="11" fillId="0" borderId="8" pivotButton="0" quotePrefix="0" xfId="0"/>
    <xf numFmtId="0" fontId="0" fillId="0" borderId="3" pivotButton="0" quotePrefix="0" xfId="0"/>
    <xf numFmtId="175" fontId="16" fillId="0" borderId="8" pivotButton="0" quotePrefix="0" xfId="0"/>
    <xf numFmtId="168" fontId="13" fillId="0" borderId="7" pivotButton="0" quotePrefix="0" xfId="0"/>
    <xf numFmtId="168" fontId="13" fillId="0" borderId="8" pivotButton="0" quotePrefix="0" xfId="0"/>
    <xf numFmtId="37" fontId="14" fillId="0" borderId="1" pivotButton="0" quotePrefix="0" xfId="0"/>
    <xf numFmtId="39" fontId="16" fillId="0" borderId="1" pivotButton="0" quotePrefix="0" xfId="0"/>
    <xf numFmtId="164" fontId="13" fillId="2" borderId="1" pivotButton="0" quotePrefix="0" xfId="0"/>
    <xf numFmtId="172" fontId="0" fillId="0" borderId="8" pivotButton="0" quotePrefix="0" xfId="0"/>
    <xf numFmtId="0" fontId="10" fillId="0" borderId="6" pivotButton="0" quotePrefix="0" xfId="0"/>
    <xf numFmtId="0" fontId="9" fillId="0" borderId="6" pivotButton="0" quotePrefix="0" xfId="0"/>
    <xf numFmtId="165" fontId="9" fillId="0" borderId="0" pivotButton="0" quotePrefix="0" xfId="0"/>
    <xf numFmtId="0" fontId="7" fillId="0" borderId="5" pivotButton="0" quotePrefix="0" xfId="0"/>
    <xf numFmtId="0" fontId="7" fillId="0" borderId="6" pivotButton="0" quotePrefix="0" xfId="0"/>
    <xf numFmtId="37" fontId="7" fillId="0" borderId="0" pivotButton="0" quotePrefix="0" xfId="0"/>
    <xf numFmtId="9" fontId="13" fillId="0" borderId="0" pivotButton="0" quotePrefix="0" xfId="0"/>
    <xf numFmtId="0" fontId="7" fillId="0" borderId="6" applyAlignment="1" pivotButton="0" quotePrefix="0" xfId="0">
      <alignment horizontal="left" vertical="top"/>
    </xf>
    <xf numFmtId="37" fontId="0" fillId="0" borderId="0" pivotButton="0" quotePrefix="0" xfId="0"/>
    <xf numFmtId="0" fontId="11" fillId="0" borderId="6" pivotButton="0" quotePrefix="0" xfId="0"/>
    <xf numFmtId="37" fontId="11" fillId="0" borderId="0" pivotButton="0" quotePrefix="0" xfId="0"/>
    <xf numFmtId="37" fontId="14" fillId="0" borderId="0" pivotButton="0" quotePrefix="0" xfId="0"/>
    <xf numFmtId="0" fontId="13" fillId="0" borderId="6" pivotButton="0" quotePrefix="0" xfId="0"/>
    <xf numFmtId="168" fontId="13" fillId="0" borderId="0" pivotButton="0" quotePrefix="0" xfId="0"/>
    <xf numFmtId="0" fontId="13" fillId="0" borderId="5" pivotButton="0" quotePrefix="0" xfId="0"/>
    <xf numFmtId="39" fontId="16" fillId="0" borderId="0" pivotButton="0" quotePrefix="0" xfId="0"/>
    <xf numFmtId="164" fontId="13" fillId="2" borderId="0" pivotButton="0" quotePrefix="0" xfId="0"/>
    <xf numFmtId="169" fontId="15" fillId="0" borderId="8" pivotButton="0" quotePrefix="0" xfId="0"/>
    <xf numFmtId="164" fontId="18" fillId="4" borderId="11" pivotButton="0" quotePrefix="0" xfId="0"/>
    <xf numFmtId="164" fontId="18" fillId="4" borderId="12" pivotButton="0" quotePrefix="0" xfId="0"/>
    <xf numFmtId="169" fontId="7" fillId="0" borderId="1" pivotButton="0" quotePrefix="0" xfId="0"/>
    <xf numFmtId="166" fontId="7" fillId="0" borderId="1" pivotButton="0" quotePrefix="0" xfId="0"/>
    <xf numFmtId="166" fontId="7" fillId="0" borderId="8" pivotButton="0" quotePrefix="0" xfId="0"/>
    <xf numFmtId="0" fontId="24" fillId="0" borderId="0" pivotButton="0" quotePrefix="0" xfId="9"/>
    <xf numFmtId="0" fontId="25" fillId="0" borderId="0" pivotButton="0" quotePrefix="0" xfId="9"/>
    <xf numFmtId="0" fontId="26" fillId="0" borderId="0" applyAlignment="1" pivotButton="0" quotePrefix="0" xfId="9">
      <alignment wrapText="1"/>
    </xf>
    <xf numFmtId="0" fontId="27" fillId="0" borderId="0" pivotButton="0" quotePrefix="0" xfId="9"/>
    <xf numFmtId="0" fontId="28" fillId="0" borderId="0" applyAlignment="1" pivotButton="0" quotePrefix="0" xfId="9">
      <alignment horizontal="left" vertical="top"/>
    </xf>
    <xf numFmtId="49" fontId="25" fillId="0" borderId="0" pivotButton="0" quotePrefix="0" xfId="9"/>
    <xf numFmtId="0" fontId="29" fillId="5" borderId="0" pivotButton="0" quotePrefix="0" xfId="9"/>
    <xf numFmtId="0" fontId="30" fillId="0" borderId="0" pivotButton="0" quotePrefix="0" xfId="10"/>
    <xf numFmtId="0" fontId="31" fillId="6" borderId="0" applyAlignment="1" pivotButton="0" quotePrefix="0" xfId="9">
      <alignment wrapText="1"/>
    </xf>
    <xf numFmtId="0" fontId="31" fillId="6" borderId="0" applyAlignment="1" pivotButton="0" quotePrefix="0" xfId="9">
      <alignment horizontal="right" wrapText="1"/>
    </xf>
    <xf numFmtId="0" fontId="32" fillId="6" borderId="0" applyAlignment="1" pivotButton="0" quotePrefix="0" xfId="9">
      <alignment wrapText="1"/>
    </xf>
    <xf numFmtId="0" fontId="32" fillId="6" borderId="0" applyAlignment="1" pivotButton="0" quotePrefix="0" xfId="9">
      <alignment horizontal="right" wrapText="1"/>
    </xf>
    <xf numFmtId="0" fontId="31" fillId="0" borderId="0" applyAlignment="1" pivotButton="0" quotePrefix="0" xfId="9">
      <alignment horizontal="left" vertical="top"/>
    </xf>
    <xf numFmtId="176" fontId="28" fillId="0" borderId="0" applyAlignment="1" pivotButton="0" quotePrefix="0" xfId="9">
      <alignment horizontal="right" vertical="top" wrapText="1"/>
    </xf>
    <xf numFmtId="176" fontId="31" fillId="0" borderId="0" applyAlignment="1" pivotButton="0" quotePrefix="0" xfId="9">
      <alignment horizontal="right" vertical="top" wrapText="1"/>
    </xf>
    <xf numFmtId="177" fontId="28" fillId="0" borderId="0" applyAlignment="1" pivotButton="0" quotePrefix="0" xfId="9">
      <alignment horizontal="right" vertical="top" wrapText="1"/>
    </xf>
    <xf numFmtId="49" fontId="28" fillId="0" borderId="0" applyAlignment="1" pivotButton="0" quotePrefix="0" xfId="9">
      <alignment horizontal="right" vertical="top" wrapText="1"/>
    </xf>
    <xf numFmtId="0" fontId="25" fillId="0" borderId="0" applyAlignment="1" pivotButton="0" quotePrefix="0" xfId="9">
      <alignment vertical="top" wrapText="1"/>
    </xf>
    <xf numFmtId="0" fontId="28" fillId="0" borderId="0" applyAlignment="1" pivotButton="0" quotePrefix="0" xfId="9">
      <alignment horizontal="center" vertical="center"/>
    </xf>
    <xf numFmtId="178" fontId="31" fillId="0" borderId="0" applyAlignment="1" pivotButton="0" quotePrefix="0" xfId="9">
      <alignment horizontal="right" vertical="top" wrapText="1"/>
    </xf>
    <xf numFmtId="0" fontId="33" fillId="0" borderId="0" applyAlignment="1" pivotButton="0" quotePrefix="0" xfId="9">
      <alignment horizontal="left" vertical="top"/>
    </xf>
    <xf numFmtId="49" fontId="33" fillId="0" borderId="0" applyAlignment="1" pivotButton="0" quotePrefix="0" xfId="9">
      <alignment horizontal="right" vertical="top" wrapText="1"/>
    </xf>
    <xf numFmtId="165" fontId="33" fillId="0" borderId="0" applyAlignment="1" pivotButton="0" quotePrefix="0" xfId="9">
      <alignment horizontal="right" vertical="top" wrapText="1"/>
    </xf>
    <xf numFmtId="179" fontId="33" fillId="0" borderId="0" applyAlignment="1" pivotButton="0" quotePrefix="0" xfId="9">
      <alignment horizontal="right" vertical="top" wrapText="1"/>
    </xf>
    <xf numFmtId="0" fontId="25" fillId="0" borderId="0" applyAlignment="1" pivotButton="0" quotePrefix="0" xfId="9">
      <alignment horizontal="center" vertical="top" wrapText="1"/>
    </xf>
    <xf numFmtId="180" fontId="28" fillId="0" borderId="0" applyAlignment="1" pivotButton="0" quotePrefix="0" xfId="9">
      <alignment horizontal="right" vertical="top" wrapText="1"/>
    </xf>
    <xf numFmtId="181" fontId="28" fillId="0" borderId="0" applyAlignment="1" pivotButton="0" quotePrefix="0" xfId="9">
      <alignment horizontal="right" vertical="top" wrapText="1"/>
    </xf>
    <xf numFmtId="164" fontId="0" fillId="0" borderId="1" applyAlignment="1" pivotButton="0" quotePrefix="0" xfId="0">
      <alignment horizontal="right"/>
    </xf>
    <xf numFmtId="167" fontId="7" fillId="0" borderId="1" applyAlignment="1" pivotButton="0" quotePrefix="0" xfId="0">
      <alignment horizontal="right"/>
    </xf>
    <xf numFmtId="0" fontId="34" fillId="5" borderId="0" pivotButton="0" quotePrefix="0" xfId="9"/>
    <xf numFmtId="0" fontId="35" fillId="0" borderId="0" pivotButton="0" quotePrefix="0" xfId="9"/>
    <xf numFmtId="0" fontId="36" fillId="0" borderId="0" pivotButton="0" quotePrefix="0" xfId="10"/>
    <xf numFmtId="0" fontId="37" fillId="6" borderId="0" applyAlignment="1" pivotButton="0" quotePrefix="0" xfId="9">
      <alignment wrapText="1"/>
    </xf>
    <xf numFmtId="0" fontId="37" fillId="6" borderId="0" applyAlignment="1" pivotButton="0" quotePrefix="0" xfId="9">
      <alignment horizontal="right" wrapText="1"/>
    </xf>
    <xf numFmtId="0" fontId="38" fillId="6" borderId="0" applyAlignment="1" pivotButton="0" quotePrefix="0" xfId="9">
      <alignment wrapText="1"/>
    </xf>
    <xf numFmtId="0" fontId="38" fillId="6" borderId="0" applyAlignment="1" pivotButton="0" quotePrefix="0" xfId="9">
      <alignment horizontal="right" wrapText="1"/>
    </xf>
    <xf numFmtId="0" fontId="37" fillId="0" borderId="0" applyAlignment="1" pivotButton="0" quotePrefix="0" xfId="9">
      <alignment horizontal="left" vertical="top"/>
    </xf>
    <xf numFmtId="0" fontId="35" fillId="0" borderId="0" applyAlignment="1" pivotButton="0" quotePrefix="0" xfId="9">
      <alignment horizontal="left" vertical="top"/>
    </xf>
    <xf numFmtId="176" fontId="35" fillId="0" borderId="0" applyAlignment="1" pivotButton="0" quotePrefix="0" xfId="9">
      <alignment horizontal="right" vertical="top" wrapText="1"/>
    </xf>
    <xf numFmtId="176" fontId="37" fillId="0" borderId="14" applyAlignment="1" pivotButton="0" quotePrefix="0" xfId="9">
      <alignment horizontal="right" vertical="top" wrapText="1"/>
    </xf>
    <xf numFmtId="176" fontId="37" fillId="0" borderId="0" applyAlignment="1" pivotButton="0" quotePrefix="0" xfId="9">
      <alignment horizontal="right" vertical="top" wrapText="1"/>
    </xf>
    <xf numFmtId="176" fontId="39" fillId="0" borderId="14" applyAlignment="1" pivotButton="0" quotePrefix="0" xfId="9">
      <alignment horizontal="right" vertical="top" wrapText="1"/>
    </xf>
    <xf numFmtId="177" fontId="35" fillId="0" borderId="0" applyAlignment="1" pivotButton="0" quotePrefix="0" xfId="9">
      <alignment horizontal="right" vertical="top" wrapText="1"/>
    </xf>
    <xf numFmtId="178" fontId="35" fillId="0" borderId="0" applyAlignment="1" pivotButton="0" quotePrefix="0" xfId="9">
      <alignment horizontal="right" vertical="top" wrapText="1"/>
    </xf>
    <xf numFmtId="165" fontId="35" fillId="0" borderId="0" applyAlignment="1" pivotButton="0" quotePrefix="0" xfId="9">
      <alignment horizontal="right" vertical="top" wrapText="1"/>
    </xf>
    <xf numFmtId="182" fontId="35" fillId="0" borderId="0" applyAlignment="1" pivotButton="0" quotePrefix="0" xfId="9">
      <alignment horizontal="right" vertical="top" wrapText="1"/>
    </xf>
    <xf numFmtId="49" fontId="35" fillId="0" borderId="0" applyAlignment="1" pivotButton="0" quotePrefix="0" xfId="9">
      <alignment horizontal="right" vertical="top" wrapText="1"/>
    </xf>
    <xf numFmtId="0" fontId="35" fillId="0" borderId="0" applyAlignment="1" pivotButton="0" quotePrefix="0" xfId="9">
      <alignment vertical="top" wrapText="1"/>
    </xf>
    <xf numFmtId="0" fontId="35" fillId="0" borderId="0" applyAlignment="1" pivotButton="0" quotePrefix="0" xfId="9">
      <alignment horizontal="center" vertical="center"/>
    </xf>
    <xf numFmtId="176" fontId="40" fillId="0" borderId="0" applyAlignment="1" pivotButton="0" quotePrefix="0" xfId="9">
      <alignment horizontal="right" vertical="top" wrapText="1"/>
    </xf>
    <xf numFmtId="176" fontId="39" fillId="0" borderId="0" applyAlignment="1" pivotButton="0" quotePrefix="0" xfId="9">
      <alignment horizontal="right" vertical="top" wrapText="1"/>
    </xf>
    <xf numFmtId="183" fontId="35" fillId="0" borderId="0" applyAlignment="1" pivotButton="0" quotePrefix="0" xfId="9">
      <alignment horizontal="right" vertical="top" wrapText="1"/>
    </xf>
    <xf numFmtId="0" fontId="35" fillId="0" borderId="0" applyAlignment="1" pivotButton="0" quotePrefix="0" xfId="9">
      <alignment horizontal="center" vertical="center" wrapText="1"/>
    </xf>
    <xf numFmtId="37" fontId="15" fillId="0" borderId="0" pivotButton="0" quotePrefix="0" xfId="0"/>
    <xf numFmtId="37" fontId="15" fillId="0" borderId="1" pivotButton="0" quotePrefix="0" xfId="0"/>
    <xf numFmtId="37" fontId="16" fillId="0" borderId="0" pivotButton="0" quotePrefix="0" xfId="0"/>
    <xf numFmtId="37" fontId="16" fillId="0" borderId="1" pivotButton="0" quotePrefix="0" xfId="0"/>
    <xf numFmtId="37" fontId="16" fillId="0" borderId="7" pivotButton="0" quotePrefix="0" xfId="0"/>
    <xf numFmtId="37" fontId="16" fillId="0" borderId="8" pivotButton="0" quotePrefix="0" xfId="0"/>
    <xf numFmtId="166" fontId="12" fillId="0" borderId="8" pivotButton="0" quotePrefix="0" xfId="0"/>
    <xf numFmtId="37" fontId="12" fillId="0" borderId="1" pivotButton="0" quotePrefix="0" xfId="0"/>
    <xf numFmtId="167" fontId="15" fillId="0" borderId="1" pivotButton="0" quotePrefix="0" xfId="0"/>
    <xf numFmtId="164" fontId="45" fillId="4" borderId="11" pivotButton="0" quotePrefix="0" xfId="0"/>
    <xf numFmtId="164" fontId="45" fillId="4" borderId="12" pivotButton="0" quotePrefix="0" xfId="0"/>
    <xf numFmtId="164" fontId="18" fillId="0" borderId="0" pivotButton="0" quotePrefix="0" xfId="0"/>
    <xf numFmtId="164" fontId="18" fillId="0" borderId="1" pivotButton="0" quotePrefix="0" xfId="0"/>
    <xf numFmtId="1" fontId="13" fillId="0" borderId="0" pivotButton="0" quotePrefix="0" xfId="0"/>
    <xf numFmtId="1" fontId="13" fillId="0" borderId="1" pivotButton="0" quotePrefix="0" xfId="0"/>
    <xf numFmtId="1" fontId="18" fillId="4" borderId="11" pivotButton="0" quotePrefix="0" xfId="0"/>
    <xf numFmtId="1" fontId="18" fillId="4" borderId="12" pivotButton="0" quotePrefix="0" xfId="0"/>
    <xf numFmtId="173" fontId="44" fillId="0" borderId="1" pivotButton="0" quotePrefix="0" xfId="0"/>
    <xf numFmtId="0" fontId="13" fillId="0" borderId="7" pivotButton="0" quotePrefix="0" xfId="0"/>
    <xf numFmtId="164" fontId="18" fillId="0" borderId="7" pivotButton="0" quotePrefix="0" xfId="0"/>
    <xf numFmtId="173" fontId="20" fillId="3" borderId="1" pivotButton="0" quotePrefix="0" xfId="0"/>
    <xf numFmtId="173" fontId="15" fillId="3" borderId="0" pivotButton="0" quotePrefix="0" xfId="0"/>
    <xf numFmtId="173" fontId="7" fillId="3" borderId="0" pivotButton="0" quotePrefix="0" xfId="0"/>
    <xf numFmtId="0" fontId="9" fillId="3" borderId="0" pivotButton="0" quotePrefix="0" xfId="0"/>
    <xf numFmtId="184" fontId="16" fillId="0" borderId="1" pivotButton="0" quotePrefix="0" xfId="0"/>
    <xf numFmtId="184" fontId="12" fillId="0" borderId="1" pivotButton="0" quotePrefix="0" xfId="0"/>
    <xf numFmtId="164" fontId="45" fillId="3" borderId="0" pivotButton="0" quotePrefix="0" xfId="0"/>
    <xf numFmtId="0" fontId="43" fillId="0" borderId="0" pivotButton="0" quotePrefix="0" xfId="0"/>
    <xf numFmtId="0" fontId="15" fillId="0" borderId="4" pivotButton="0" quotePrefix="0" xfId="0"/>
    <xf numFmtId="176" fontId="15" fillId="0" borderId="1" pivotButton="0" quotePrefix="0" xfId="0"/>
    <xf numFmtId="4" fontId="15" fillId="0" borderId="1" pivotButton="0" quotePrefix="0" xfId="0"/>
    <xf numFmtId="4" fontId="12" fillId="0" borderId="1" pivotButton="0" quotePrefix="0" xfId="0"/>
    <xf numFmtId="185" fontId="12" fillId="0" borderId="1" pivotButton="0" quotePrefix="0" xfId="0"/>
    <xf numFmtId="175" fontId="11" fillId="0" borderId="8" pivotButton="0" quotePrefix="0" xfId="0"/>
    <xf numFmtId="0" fontId="41" fillId="0" borderId="0" pivotButton="0" quotePrefix="0" xfId="0"/>
    <xf numFmtId="0" fontId="42" fillId="0" borderId="0" pivotButton="0" quotePrefix="0" xfId="0"/>
    <xf numFmtId="186" fontId="41" fillId="0" borderId="0" pivotButton="0" quotePrefix="0" xfId="0"/>
    <xf numFmtId="4" fontId="42" fillId="0" borderId="0" pivotButton="0" quotePrefix="0" xfId="0"/>
    <xf numFmtId="175" fontId="41" fillId="0" borderId="0" pivotButton="0" quotePrefix="0" xfId="0"/>
    <xf numFmtId="164" fontId="41" fillId="0" borderId="0" pivotButton="0" quotePrefix="0" xfId="0"/>
    <xf numFmtId="0" fontId="0" fillId="0" borderId="0" pivotButton="0" quotePrefix="0" xfId="0"/>
    <xf numFmtId="0" fontId="43" fillId="0" borderId="0" pivotButton="0" quotePrefix="0" xfId="0"/>
    <xf numFmtId="2" fontId="10" fillId="7" borderId="3" applyAlignment="1" pivotButton="0" quotePrefix="0" xfId="0">
      <alignment horizontal="center"/>
    </xf>
    <xf numFmtId="2" fontId="10" fillId="7" borderId="4" applyAlignment="1" pivotButton="0" quotePrefix="0" xfId="0">
      <alignment horizontal="center"/>
    </xf>
    <xf numFmtId="2" fontId="10" fillId="7" borderId="2" applyAlignment="1" pivotButton="0" quotePrefix="0" xfId="0">
      <alignment horizontal="center"/>
    </xf>
    <xf numFmtId="0" fontId="0" fillId="8" borderId="4" pivotButton="0" quotePrefix="0" xfId="0"/>
    <xf numFmtId="167" fontId="0" fillId="0" borderId="1" pivotButton="0" quotePrefix="0" xfId="0"/>
    <xf numFmtId="0" fontId="0" fillId="7" borderId="0" pivotButton="0" quotePrefix="0" xfId="0"/>
    <xf numFmtId="0" fontId="11" fillId="7" borderId="1" applyAlignment="1" pivotButton="0" quotePrefix="0" xfId="0">
      <alignment horizontal="center"/>
    </xf>
    <xf numFmtId="0" fontId="0" fillId="8" borderId="0" pivotButton="0" quotePrefix="0" xfId="0"/>
    <xf numFmtId="0" fontId="0" fillId="8" borderId="1" pivotButton="0" quotePrefix="0" xfId="0"/>
    <xf numFmtId="0" fontId="10" fillId="7" borderId="0" applyAlignment="1" pivotButton="0" quotePrefix="0" xfId="0">
      <alignment horizontal="center"/>
    </xf>
    <xf numFmtId="0" fontId="11" fillId="7" borderId="0" pivotButton="0" quotePrefix="0" xfId="0"/>
    <xf numFmtId="164" fontId="19" fillId="7" borderId="1" pivotButton="0" quotePrefix="0" xfId="0"/>
    <xf numFmtId="164" fontId="18" fillId="7" borderId="0" pivotButton="0" quotePrefix="0" xfId="0"/>
    <xf numFmtId="0" fontId="0" fillId="0" borderId="0" pivotButton="0" quotePrefix="0" xfId="0"/>
    <xf numFmtId="174" fontId="16" fillId="0" borderId="0" pivotButton="0" quotePrefix="0" xfId="0"/>
    <xf numFmtId="164" fontId="18" fillId="0" borderId="15" applyAlignment="1" pivotButton="0" quotePrefix="0" xfId="0">
      <alignment horizontal="right"/>
    </xf>
    <xf numFmtId="184" fontId="18" fillId="0" borderId="15" applyAlignment="1" pivotButton="0" quotePrefix="0" xfId="0">
      <alignment horizontal="right"/>
    </xf>
    <xf numFmtId="184" fontId="16" fillId="0" borderId="15" pivotButton="0" quotePrefix="0" xfId="0"/>
    <xf numFmtId="174" fontId="12" fillId="0" borderId="0" pivotButton="0" quotePrefix="0" xfId="0"/>
    <xf numFmtId="174" fontId="16" fillId="0" borderId="0" pivotButton="0" quotePrefix="0" xfId="0"/>
    <xf numFmtId="164" fontId="19" fillId="7" borderId="0" pivotButton="0" quotePrefix="0" xfId="0"/>
    <xf numFmtId="164" fontId="18" fillId="7" borderId="0" pivotButton="0" quotePrefix="0" xfId="0"/>
    <xf numFmtId="173" fontId="44" fillId="0" borderId="0" pivotButton="0" quotePrefix="0" xfId="0"/>
    <xf numFmtId="173" fontId="14" fillId="0" borderId="0" pivotButton="0" quotePrefix="0" xfId="0"/>
    <xf numFmtId="164" fontId="19" fillId="0" borderId="0" pivotButton="0" quotePrefix="0" xfId="0"/>
    <xf numFmtId="164" fontId="21" fillId="3" borderId="0" pivotButton="0" quotePrefix="0" xfId="0"/>
    <xf numFmtId="164" fontId="45" fillId="3" borderId="16" pivotButton="0" quotePrefix="0" xfId="0"/>
    <xf numFmtId="164" fontId="18" fillId="0" borderId="17" applyAlignment="1" pivotButton="0" quotePrefix="0" xfId="0">
      <alignment horizontal="right"/>
    </xf>
    <xf numFmtId="184" fontId="18" fillId="0" borderId="17" applyAlignment="1" pivotButton="0" quotePrefix="0" xfId="0">
      <alignment horizontal="right"/>
    </xf>
    <xf numFmtId="184" fontId="16" fillId="0" borderId="17" pivotButton="0" quotePrefix="0" xfId="0"/>
    <xf numFmtId="0" fontId="0" fillId="8" borderId="0" pivotButton="0" quotePrefix="0" xfId="0"/>
    <xf numFmtId="0" fontId="11" fillId="0" borderId="0" applyAlignment="1" pivotButton="0" quotePrefix="0" xfId="0">
      <alignment horizontal="center"/>
    </xf>
    <xf numFmtId="173" fontId="12" fillId="0" borderId="0" pivotButton="0" quotePrefix="0" xfId="0"/>
    <xf numFmtId="173" fontId="20" fillId="3" borderId="0" pivotButton="0" quotePrefix="0" xfId="0"/>
    <xf numFmtId="164" fontId="18" fillId="0" borderId="0" pivotButton="0" quotePrefix="0" xfId="0"/>
    <xf numFmtId="0" fontId="10" fillId="0" borderId="0" pivotButton="0" quotePrefix="0" xfId="0"/>
    <xf numFmtId="0" fontId="10" fillId="0" borderId="1" pivotButton="0" quotePrefix="0" xfId="0"/>
    <xf numFmtId="174" fontId="12" fillId="7" borderId="0" pivotButton="0" quotePrefix="0" xfId="0"/>
    <xf numFmtId="164" fontId="16" fillId="0" borderId="0" pivotButton="0" quotePrefix="0" xfId="0"/>
    <xf numFmtId="184" fontId="16" fillId="0" borderId="0" pivotButton="0" quotePrefix="0" xfId="0"/>
    <xf numFmtId="184" fontId="12" fillId="0" borderId="0" pivotButton="0" quotePrefix="0" xfId="0"/>
    <xf numFmtId="164" fontId="12" fillId="0" borderId="0" pivotButton="0" quotePrefix="0" xfId="0"/>
    <xf numFmtId="0" fontId="0" fillId="0" borderId="0" pivotButton="0" quotePrefix="0" xfId="0"/>
    <xf numFmtId="37" fontId="15" fillId="0" borderId="0" pivotButton="0" quotePrefix="0" xfId="0"/>
    <xf numFmtId="168" fontId="9" fillId="0" borderId="0" pivotButton="0" quotePrefix="0" xfId="0"/>
    <xf numFmtId="165" fontId="9" fillId="0" borderId="0" pivotButton="0" quotePrefix="0" xfId="0"/>
    <xf numFmtId="37" fontId="7" fillId="0" borderId="0" pivotButton="0" quotePrefix="0" xfId="0"/>
    <xf numFmtId="9" fontId="13" fillId="0" borderId="0" pivotButton="0" quotePrefix="0" xfId="0"/>
    <xf numFmtId="37" fontId="16" fillId="0" borderId="0" pivotButton="0" quotePrefix="0" xfId="0"/>
    <xf numFmtId="37" fontId="11" fillId="0" borderId="0" pivotButton="0" quotePrefix="0" xfId="0"/>
    <xf numFmtId="168" fontId="13" fillId="0" borderId="0" pivotButton="0" quotePrefix="0" xfId="0"/>
    <xf numFmtId="37" fontId="12" fillId="0" borderId="0" pivotButton="0" quotePrefix="0" xfId="0"/>
    <xf numFmtId="0" fontId="9" fillId="7" borderId="3" pivotButton="0" quotePrefix="0" xfId="0"/>
    <xf numFmtId="0" fontId="10" fillId="7" borderId="18" applyAlignment="1" pivotButton="0" quotePrefix="0" xfId="0">
      <alignment horizontal="center"/>
    </xf>
    <xf numFmtId="0" fontId="0" fillId="8" borderId="16" pivotButton="0" quotePrefix="0" xfId="0"/>
    <xf numFmtId="0" fontId="0" fillId="8" borderId="18" pivotButton="0" quotePrefix="0" xfId="0"/>
    <xf numFmtId="0" fontId="0" fillId="8" borderId="13" pivotButton="0" quotePrefix="0" xfId="0"/>
    <xf numFmtId="164" fontId="12" fillId="0" borderId="8" pivotButton="0" quotePrefix="0" xfId="0"/>
    <xf numFmtId="0" fontId="0" fillId="0" borderId="13" pivotButton="0" quotePrefix="0" xfId="0"/>
    <xf numFmtId="0" fontId="0" fillId="0" borderId="18" pivotButton="0" quotePrefix="0" xfId="0"/>
    <xf numFmtId="184" fontId="16" fillId="0" borderId="0" pivotButton="0" quotePrefix="0" xfId="0"/>
    <xf numFmtId="184" fontId="16" fillId="0" borderId="1" pivotButton="0" quotePrefix="0" xfId="0"/>
    <xf numFmtId="184" fontId="18" fillId="0" borderId="17" applyAlignment="1" pivotButton="0" quotePrefix="0" xfId="0">
      <alignment horizontal="right"/>
    </xf>
    <xf numFmtId="184" fontId="18" fillId="0" borderId="15" applyAlignment="1" pivotButton="0" quotePrefix="0" xfId="0">
      <alignment horizontal="right"/>
    </xf>
    <xf numFmtId="184" fontId="12" fillId="0" borderId="0" pivotButton="0" quotePrefix="0" xfId="0"/>
    <xf numFmtId="184" fontId="12" fillId="0" borderId="1" pivotButton="0" quotePrefix="0" xfId="0"/>
    <xf numFmtId="184" fontId="16" fillId="0" borderId="17" pivotButton="0" quotePrefix="0" xfId="0"/>
    <xf numFmtId="184" fontId="16" fillId="0" borderId="15" pivotButton="0" quotePrefix="0" xfId="0"/>
    <xf numFmtId="175" fontId="16" fillId="0" borderId="8" pivotButton="0" quotePrefix="0" xfId="0"/>
    <xf numFmtId="185" fontId="12" fillId="0" borderId="1" pivotButton="0" quotePrefix="0" xfId="0"/>
    <xf numFmtId="175" fontId="11" fillId="0" borderId="8" pivotButton="0" quotePrefix="0" xfId="0"/>
    <xf numFmtId="175" fontId="41" fillId="0" borderId="0" pivotButton="0" quotePrefix="0" xfId="0"/>
    <xf numFmtId="177" fontId="35" fillId="0" borderId="0" applyAlignment="1" pivotButton="0" quotePrefix="0" xfId="9">
      <alignment horizontal="right" vertical="top" wrapText="1"/>
    </xf>
    <xf numFmtId="178" fontId="35" fillId="0" borderId="0" applyAlignment="1" pivotButton="0" quotePrefix="0" xfId="9">
      <alignment horizontal="right" vertical="top" wrapText="1"/>
    </xf>
    <xf numFmtId="182" fontId="35" fillId="0" borderId="0" applyAlignment="1" pivotButton="0" quotePrefix="0" xfId="9">
      <alignment horizontal="right" vertical="top" wrapText="1"/>
    </xf>
    <xf numFmtId="178" fontId="31" fillId="0" borderId="0" applyAlignment="1" pivotButton="0" quotePrefix="0" xfId="9">
      <alignment horizontal="right" vertical="top" wrapText="1"/>
    </xf>
    <xf numFmtId="179" fontId="33" fillId="0" borderId="0" applyAlignment="1" pivotButton="0" quotePrefix="0" xfId="9">
      <alignment horizontal="right" vertical="top" wrapText="1"/>
    </xf>
    <xf numFmtId="177" fontId="28" fillId="0" borderId="0" applyAlignment="1" pivotButton="0" quotePrefix="0" xfId="9">
      <alignment horizontal="right" vertical="top" wrapText="1"/>
    </xf>
    <xf numFmtId="180" fontId="28" fillId="0" borderId="0" applyAlignment="1" pivotButton="0" quotePrefix="0" xfId="9">
      <alignment horizontal="right" vertical="top" wrapText="1"/>
    </xf>
    <xf numFmtId="181" fontId="28" fillId="0" borderId="0" applyAlignment="1" pivotButton="0" quotePrefix="0" xfId="9">
      <alignment horizontal="right" vertical="top" wrapText="1"/>
    </xf>
    <xf numFmtId="183" fontId="35" fillId="0" borderId="0" applyAlignment="1" pivotButton="0" quotePrefix="0" xfId="9">
      <alignment horizontal="right" vertical="top" wrapText="1"/>
    </xf>
  </cellXfs>
  <cellStyles count="11">
    <cellStyle name="Normal" xfId="0" builtinId="0"/>
    <cellStyle name="Comma 2" xfId="1"/>
    <cellStyle name="Hyperlink 2 2" xfId="2"/>
    <cellStyle name="Invisible" xfId="3"/>
    <cellStyle name="Invisible 2" xfId="4"/>
    <cellStyle name="Invisible 3" xfId="5"/>
    <cellStyle name="Normal 2" xfId="6"/>
    <cellStyle name="Normal 2 2" xfId="7"/>
    <cellStyle name="Percent 2" xfId="8"/>
    <cellStyle name="Normal 2 3" xfId="9"/>
    <cellStyle name="Invisible 2 2" xfId="1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2F2F2"/>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8CBAD"/>
      <rgbColor rgb="FF3366FF"/>
      <rgbColor rgb="FF33CCCC"/>
      <rgbColor rgb="FF99CC00"/>
      <rgbColor rgb="FFFFCC00"/>
      <rgbColor rgb="FFFF9900"/>
      <rgbColor rgb="FFC55A11"/>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omments/comment1.xml><?xml version="1.0" encoding="utf-8"?>
<comments xmlns="http://schemas.openxmlformats.org/spreadsheetml/2006/main">
  <authors>
    <author>Model</author>
  </authors>
  <commentList>
    <comment ref="M6" authorId="0" shapeId="0">
      <text>
        <t>Steady-state UFCF margin after SBC: ~16% adj. EBITDA (below mgmt's 20-25% target) less ~4% SBC and ~1.4% capex, plus some working capital; taxes shielded by NOLs. 2030 UFCF is still negative, so it cannot be capitalized directly.</t>
      </text>
    </comment>
    <comment ref="F18" authorId="0" shapeId="0">
      <text>
        <t>Stock comp is treated as a real cost in the forecast (it is ~11% of revenue and dilutes holders), so it is not added back to UFCF.</t>
      </text>
    </comment>
    <comment ref="M27" authorId="0" shapeId="0">
      <text>
        <t>De-rating from 2.9x FY27E EV/revenue today (Key Stats) toward a services mix: ~20% software at ~6x + ~80% services at ~1.5x = ~2.5x. 2030 EBIT is negative, so an EBIT multiple cannot be used.</t>
      </text>
    </comment>
    <comment ref="F33" authorId="0" shapeId="0">
      <text>
        <t>Thesis 2.1: insurance ~3.5% (Bleecker: 3-4 pts of GM) + customer support ~3% of services revenue, both booked in G&amp;A (10-K). Scales with hours.</t>
      </text>
    </comment>
    <comment ref="F34" authorId="0" shapeId="0">
      <text>
        <t>Other G&amp;A + S&amp;M + R&amp;D ex-SBC. FY26 +8%: 1H26 annualised opex ex-SBC ($239M incl. hour-driven G&amp;A) is ~10% above FY25 (Quarterly IS); fixed part ~8%. FY27+: 4% (consensus total opex +3.9%).</t>
      </text>
    </comment>
    <comment ref="F35" authorId="0" shapeId="0">
      <text>
        <t>1H26 SBC = 12% of revenue (Cash Flow tab), inflated by IPO grants; falls to 6% by FY30 as they vest.</t>
      </text>
    </comment>
    <comment ref="F36" authorId="0" shapeId="0">
      <text>
        <t>US federal rate on positive EBIT only; NOLs ignored (conservative for a short).</t>
      </text>
    </comment>
    <comment ref="F38" authorId="0" shapeId="0">
      <text>
        <t>FY23-25 average about -1.3% of revenue (10-K); receivables grow with revenue (AR +$23.7M in 1H26). -1.5%.</t>
      </text>
    </comment>
    <comment ref="F39" authorId="0" shapeId="0">
      <text>
        <t>FY23-25 capex 1.4-1.9% of revenue (10-K).</t>
      </text>
    </comment>
    <comment ref="F40" authorId="0" shapeId="0">
      <text>
        <t>SBC dilution (~$60M/yr SBC on a ~$2.3B market cap).</t>
      </text>
    </comment>
  </commentList>
</comments>
</file>

<file path=xl/comments/comment2.xml><?xml version="1.0" encoding="utf-8"?>
<comments xmlns="http://schemas.openxmlformats.org/spreadsheetml/2006/main">
  <authors>
    <author>Model</author>
  </authors>
  <commentList>
    <comment ref="E4" authorId="0" shapeId="0">
      <text>
        <t>ESTIMATE. Via reports all recurring revenue as one 'subscription' line. Software ~24% of recurring revenue, services ~76% (margin back-out in VIA_software_services_mix.xlsx; Bleecker 72% as published).</t>
      </text>
    </comment>
    <comment ref="C6" authorId="0" shapeId="0">
      <text>
        <t>Historical: residual = total - one-time - software - network.</t>
      </text>
    </comment>
    <comment ref="E7" authorId="0" shapeId="0">
      <text>
        <t>ESTIMATE. Sioux Falls ~$11.4M + one quarter of Mobile ($12.1M/4).</t>
      </text>
    </comment>
    <comment ref="F7" authorId="0" shapeId="0">
      <text>
        <t>Opening run-rate + half of the contract value launched in the year.</t>
      </text>
    </comment>
    <comment ref="C9" authorId="0" shapeId="0">
      <text>
        <t>Historical total revenue links to Annual IS (CapIQ).</t>
      </text>
    </comment>
    <comment ref="F19" authorId="0" shapeId="0">
      <text>
        <t>FY26 +12%: organic customer growth ~9% (ex-94 Downtowner customers) plus ~2% price, and a small Downtowner contribution. FY27+ fades 11% to 8% as software fees face near-zero bids (Spare bid $0.01 at LA Metro).</t>
      </text>
    </comment>
    <comment ref="F20" authorId="0" shapeId="0">
      <text>
        <t>FY26 +25% ties total FY26 revenue to 1H26 actuals ($263M) plus the H2 ramp (~consensus). FY27+ 16% to 8%: expansion at existing customers less budget-driven downsell (Jersey City cut ~half; federal stopgap / ARPA cliff). Revenue stays near consensus: the short rests on margins, not a revenue miss.</t>
      </text>
    </comment>
    <comment ref="F21" authorId="0" shapeId="0">
      <text>
        <t>The growth engine (thesis 1). FY26: Twin Cities MI (Apr), Rochester $14.6M (Sep), part of the 2026 wins. FY27: rest of the signed ~$70M book (~$27M) plus new wins. FY28+: the &gt;$700M pipeline (doubled YoY) converting at ~8-11% a year, ~5-7 mid-sized cities at $10-15M each. Earned at half rate in the launch year.</t>
      </text>
    </comment>
    <comment ref="D22" authorId="0" shapeId="0">
      <text>
        <t>Sioux Falls: 2024 NTD purchased transportation paid $11.07M (Via's first network deal).</t>
      </text>
    </comment>
    <comment ref="E22" authorId="0" shapeId="0">
      <text>
        <t>Sioux Falls ~$11.4M + Mobile $12.1M/yr (from Oct 2025).</t>
      </text>
    </comment>
    <comment ref="E23" authorId="0" shapeId="0">
      <text>
        <t>10-K: one-time revenue 3% of total in FY24 and FY25 (97% recurring). FY23 assumed the same.</t>
      </text>
    </comment>
    <comment ref="F23" authorId="0" shapeId="0">
      <text>
        <t>3% (10-K FY24-25; 1H26 also 3%).</t>
      </text>
    </comment>
    <comment ref="F26" authorId="0" shapeId="0">
      <text>
        <t>Bleecker assumption; reported cost split implies ~73%.</t>
      </text>
    </comment>
    <comment ref="F27" authorId="0" shapeId="0">
      <text>
        <t>Bleecker TaaS gross margin, arithmetic corrected and updated to 2026 contract pricing.</t>
      </text>
    </comment>
    <comment ref="F28" authorId="0" shapeId="0">
      <text>
        <t>ASSUMPTION (undisclosed): operator economics, below the ~29% on microtransit. Labor is 72% of mid-sized bus system cost (NTD 2024); CFO: 'some accretive, some less.'</t>
      </text>
    </comment>
    <comment ref="F29" authorId="0" shapeId="0">
      <text>
        <t>Implementation / consulting.</t>
      </text>
    </comment>
  </commentList>
</comments>
</file>

<file path=xl/comments/comment3.xml><?xml version="1.0" encoding="utf-8"?>
<comments xmlns="http://schemas.openxmlformats.org/spreadsheetml/2006/main">
  <authors>
    <author>Model</author>
    <author>Unknown Author</author>
  </authors>
  <commentList>
    <comment ref="C11" authorId="0" shapeId="0">
      <text>
        <t>Bloomberg beta</t>
      </text>
    </comment>
    <comment ref="C12" authorId="1" shapeId="0">
      <text>
        <t>https://pages.stern.nyu.edu/~adamodar/New_Home_Page/datafile/ctryprem.html</t>
      </text>
    </comment>
  </commentList>
</comment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1:O49"/>
  <sheetViews>
    <sheetView showGridLines="0" zoomScale="88" zoomScaleNormal="100" workbookViewId="0">
      <selection activeCell="D38" sqref="D38"/>
    </sheetView>
  </sheetViews>
  <sheetFormatPr baseColWidth="10" defaultColWidth="9.1640625" defaultRowHeight="13"/>
  <cols>
    <col width="28.5" customWidth="1" style="240" min="2" max="2"/>
    <col width="12" customWidth="1" style="240" min="3" max="3"/>
    <col width="12.5" customWidth="1" style="240" min="4" max="5"/>
    <col width="11.1640625" customWidth="1" style="240" min="6" max="10"/>
    <col width="32.5" customWidth="1" style="240" min="12" max="12"/>
    <col width="11.6640625" customWidth="1" style="240" min="13" max="14"/>
  </cols>
  <sheetData>
    <row r="1" ht="12.75" customHeight="1" s="240">
      <c r="B1" s="1" t="n"/>
      <c r="C1" s="1" t="n"/>
      <c r="D1" s="1" t="n"/>
      <c r="E1" s="1" t="n"/>
      <c r="F1" s="2" t="n"/>
      <c r="G1" s="2" t="n"/>
      <c r="H1" s="2" t="n"/>
      <c r="I1" s="2" t="n"/>
      <c r="J1" s="2" t="n"/>
    </row>
    <row r="2" ht="12.75" customHeight="1" s="240">
      <c r="B2" s="250" t="n"/>
      <c r="C2" s="251" t="inlineStr">
        <is>
          <t>Historicals</t>
        </is>
      </c>
      <c r="D2" s="256" t="n"/>
      <c r="E2" s="257" t="n"/>
      <c r="F2" s="251" t="inlineStr">
        <is>
          <t>Forecasts</t>
        </is>
      </c>
      <c r="G2" s="256" t="n"/>
      <c r="H2" s="256" t="n"/>
      <c r="I2" s="256" t="n"/>
      <c r="J2" s="257" t="n"/>
      <c r="L2" s="200" t="inlineStr">
        <is>
          <t>Gordon Growth Method</t>
        </is>
      </c>
      <c r="M2" s="257" t="n"/>
    </row>
    <row r="3" ht="12.75" customHeight="1" s="240">
      <c r="B3" s="11" t="inlineStr">
        <is>
          <t>In USD millions</t>
        </is>
      </c>
      <c r="C3" s="229" t="n">
        <v>2023</v>
      </c>
      <c r="D3" s="229">
        <f>C3+1</f>
        <v/>
      </c>
      <c r="E3" s="4">
        <f>D3+1</f>
        <v/>
      </c>
      <c r="F3" s="229">
        <f>E3+1</f>
        <v/>
      </c>
      <c r="G3" s="229">
        <f>F3+1</f>
        <v/>
      </c>
      <c r="H3" s="229">
        <f>G3+1</f>
        <v/>
      </c>
      <c r="I3" s="229">
        <f>H3+1</f>
        <v/>
      </c>
      <c r="J3" s="4">
        <f>I3+1</f>
        <v/>
      </c>
      <c r="L3" s="5" t="inlineStr">
        <is>
          <t>Terminal-Year UFCF (normalized)</t>
        </is>
      </c>
      <c r="M3" s="6">
        <f>J4*M6</f>
        <v/>
      </c>
    </row>
    <row r="4" ht="12.75" customHeight="1" s="240">
      <c r="B4" s="80" t="inlineStr">
        <is>
          <t>Total Revenue</t>
        </is>
      </c>
      <c r="C4" s="241">
        <f>'Revenue Build'!C9</f>
        <v/>
      </c>
      <c r="D4" s="241">
        <f>'Revenue Build'!D9</f>
        <v/>
      </c>
      <c r="E4" s="157">
        <f>'Revenue Build'!E9</f>
        <v/>
      </c>
      <c r="F4" s="241">
        <f>'Revenue Build'!F9</f>
        <v/>
      </c>
      <c r="G4" s="241">
        <f>'Revenue Build'!G9</f>
        <v/>
      </c>
      <c r="H4" s="241">
        <f>'Revenue Build'!H9</f>
        <v/>
      </c>
      <c r="I4" s="241">
        <f>'Revenue Build'!I9</f>
        <v/>
      </c>
      <c r="J4" s="157">
        <f>'Revenue Build'!J9</f>
        <v/>
      </c>
      <c r="L4" s="8" t="inlineStr">
        <is>
          <t>Perpetuity Growth Rate</t>
        </is>
      </c>
      <c r="M4" s="9" t="n">
        <v>0.03</v>
      </c>
    </row>
    <row r="5" ht="12.75" customHeight="1" s="240">
      <c r="B5" s="81" t="inlineStr">
        <is>
          <t xml:space="preserve">  % Growth</t>
        </is>
      </c>
      <c r="C5" s="242" t="n"/>
      <c r="D5" s="243">
        <f>D4/C4-1</f>
        <v/>
      </c>
      <c r="E5" s="10">
        <f>E4/D4-1</f>
        <v/>
      </c>
      <c r="F5" s="243">
        <f>F4/E4-1</f>
        <v/>
      </c>
      <c r="G5" s="243">
        <f>G4/F4-1</f>
        <v/>
      </c>
      <c r="H5" s="243">
        <f>H4/G4-1</f>
        <v/>
      </c>
      <c r="I5" s="243">
        <f>I4/H4-1</f>
        <v/>
      </c>
      <c r="J5" s="10">
        <f>J4/I4-1</f>
        <v/>
      </c>
      <c r="L5" s="11" t="inlineStr">
        <is>
          <t>TV FCF</t>
        </is>
      </c>
      <c r="M5" s="6">
        <f>M3*(1+M4)</f>
        <v/>
      </c>
    </row>
    <row r="6" ht="12.75" customHeight="1" s="240">
      <c r="B6" s="83" t="inlineStr">
        <is>
          <t xml:space="preserve">COGS </t>
        </is>
      </c>
      <c r="C6" s="27">
        <f>'Annual IS'!B9</f>
        <v/>
      </c>
      <c r="D6" s="27">
        <f>'Annual IS'!C9</f>
        <v/>
      </c>
      <c r="E6" s="28">
        <f>'Annual IS'!D9</f>
        <v/>
      </c>
      <c r="F6" s="12">
        <f>F4*F32</f>
        <v/>
      </c>
      <c r="G6" s="12">
        <f>G4*G32</f>
        <v/>
      </c>
      <c r="H6" s="12">
        <f>H4*H32</f>
        <v/>
      </c>
      <c r="I6" s="12">
        <f>I4*I32</f>
        <v/>
      </c>
      <c r="J6" s="20">
        <f>J4*J32</f>
        <v/>
      </c>
      <c r="L6" s="8" t="inlineStr">
        <is>
          <t>Terminal UFCF Margin (normalized)</t>
        </is>
      </c>
      <c r="M6" s="255" t="n">
        <v>0.1</v>
      </c>
    </row>
    <row r="7" ht="12.75" customHeight="1" s="240">
      <c r="B7" s="84" t="inlineStr">
        <is>
          <t>Gross profit</t>
        </is>
      </c>
      <c r="C7" s="244">
        <f>C4-C6</f>
        <v/>
      </c>
      <c r="D7" s="244">
        <f>D4-D6</f>
        <v/>
      </c>
      <c r="E7" s="14">
        <f>E4-E6</f>
        <v/>
      </c>
      <c r="F7" s="244">
        <f>F4-F6</f>
        <v/>
      </c>
      <c r="G7" s="244">
        <f>G4-G6</f>
        <v/>
      </c>
      <c r="H7" s="244">
        <f>H4-H6</f>
        <v/>
      </c>
      <c r="I7" s="244">
        <f>I4-I6</f>
        <v/>
      </c>
      <c r="J7" s="14">
        <f>J4-J6</f>
        <v/>
      </c>
      <c r="L7" s="11" t="inlineStr">
        <is>
          <t>TV</t>
        </is>
      </c>
      <c r="M7" s="15">
        <f>M5/('WACC Calculations'!C13-M4)</f>
        <v/>
      </c>
    </row>
    <row r="8" ht="12.75" customHeight="1" s="240">
      <c r="B8" s="81" t="inlineStr">
        <is>
          <t xml:space="preserve">  Gross Profit Margin</t>
        </is>
      </c>
      <c r="C8" s="245">
        <f>C7/C4</f>
        <v/>
      </c>
      <c r="D8" s="245">
        <f>D7/D4</f>
        <v/>
      </c>
      <c r="E8" s="16">
        <f>E7/E4</f>
        <v/>
      </c>
      <c r="F8" s="245">
        <f>F7/F4</f>
        <v/>
      </c>
      <c r="G8" s="245">
        <f>G7/G4</f>
        <v/>
      </c>
      <c r="H8" s="245">
        <f>H7/H4</f>
        <v/>
      </c>
      <c r="I8" s="245">
        <f>I7/I4</f>
        <v/>
      </c>
      <c r="J8" s="16">
        <f>J7/J4</f>
        <v/>
      </c>
      <c r="L8" s="11" t="n"/>
      <c r="M8" s="15" t="n"/>
    </row>
    <row r="9" ht="12.75" customHeight="1" s="240">
      <c r="B9" s="87" t="inlineStr">
        <is>
          <t>Hour-driven G&amp;A (insurance, support)</t>
        </is>
      </c>
      <c r="C9" s="246">
        <f>'Revenue Build'!C5*C33</f>
        <v/>
      </c>
      <c r="D9" s="246">
        <f>'Revenue Build'!D5*D33</f>
        <v/>
      </c>
      <c r="E9" s="159">
        <f>'Revenue Build'!E5*E33</f>
        <v/>
      </c>
      <c r="F9" s="246">
        <f>'Revenue Build'!F5*F33</f>
        <v/>
      </c>
      <c r="G9" s="246">
        <f>'Revenue Build'!G5*G33</f>
        <v/>
      </c>
      <c r="H9" s="246">
        <f>'Revenue Build'!H5*H33</f>
        <v/>
      </c>
      <c r="I9" s="246">
        <f>'Revenue Build'!I5*I33</f>
        <v/>
      </c>
      <c r="J9" s="159">
        <f>'Revenue Build'!J5*J33</f>
        <v/>
      </c>
      <c r="L9" s="11" t="inlineStr">
        <is>
          <t>PV of TV</t>
        </is>
      </c>
      <c r="M9" s="17">
        <f>M7/(1+F24)^(F23+4)</f>
        <v/>
      </c>
    </row>
    <row r="10" ht="12.75" customHeight="1" s="240">
      <c r="B10" s="87" t="inlineStr">
        <is>
          <t>Fixed opex (other G&amp;A, S&amp;M, R&amp;D)</t>
        </is>
      </c>
      <c r="C10" s="246">
        <f>'Annual IS'!B17-C9-C11</f>
        <v/>
      </c>
      <c r="D10" s="246">
        <f>'Annual IS'!C17-D9-D11</f>
        <v/>
      </c>
      <c r="E10" s="159">
        <f>'Annual IS'!D17-E9-E11</f>
        <v/>
      </c>
      <c r="F10" s="246">
        <f>E10*(1+F34)</f>
        <v/>
      </c>
      <c r="G10" s="246">
        <f>F10*(1+G34)</f>
        <v/>
      </c>
      <c r="H10" s="246">
        <f>G10*(1+H34)</f>
        <v/>
      </c>
      <c r="I10" s="246">
        <f>H10*(1+I34)</f>
        <v/>
      </c>
      <c r="J10" s="159">
        <f>I10*(1+J34)</f>
        <v/>
      </c>
      <c r="L10" s="18" t="inlineStr">
        <is>
          <t>PV of FCF</t>
        </is>
      </c>
      <c r="M10" s="19">
        <f>SUM(F28:J28)</f>
        <v/>
      </c>
    </row>
    <row r="11" ht="12.75" customHeight="1" s="240">
      <c r="B11" s="87" t="inlineStr">
        <is>
          <t>Stock-based comp (in opex)</t>
        </is>
      </c>
      <c r="C11" s="246">
        <f>'Annual IS'!B93-'Annual IS'!B89</f>
        <v/>
      </c>
      <c r="D11" s="246">
        <f>'Annual IS'!C93-'Annual IS'!C89</f>
        <v/>
      </c>
      <c r="E11" s="159">
        <f>'Annual IS'!D93-'Annual IS'!D89</f>
        <v/>
      </c>
      <c r="F11" s="246">
        <f>F4*F35</f>
        <v/>
      </c>
      <c r="G11" s="246">
        <f>G4*G35</f>
        <v/>
      </c>
      <c r="H11" s="246">
        <f>H4*H35</f>
        <v/>
      </c>
      <c r="I11" s="246">
        <f>I4*I35</f>
        <v/>
      </c>
      <c r="J11" s="159">
        <f>J4*J35</f>
        <v/>
      </c>
      <c r="L11" s="11" t="n"/>
      <c r="M11" s="17" t="n"/>
    </row>
    <row r="12" ht="12.75" customHeight="1" s="240">
      <c r="B12" s="18" t="inlineStr">
        <is>
          <t xml:space="preserve">   OpEx</t>
        </is>
      </c>
      <c r="C12" s="12">
        <f>SUM(C9:C11)</f>
        <v/>
      </c>
      <c r="D12" s="12">
        <f>SUM(D9:D11)</f>
        <v/>
      </c>
      <c r="E12" s="20">
        <f>SUM(E9:E11)</f>
        <v/>
      </c>
      <c r="F12" s="12">
        <f>SUM(F9:F11)</f>
        <v/>
      </c>
      <c r="G12" s="12">
        <f>SUM(G9:G11)</f>
        <v/>
      </c>
      <c r="H12" s="12">
        <f>SUM(H9:H11)</f>
        <v/>
      </c>
      <c r="I12" s="12">
        <f>SUM(I9:I11)</f>
        <v/>
      </c>
      <c r="J12" s="20">
        <f>SUM(J9:J11)</f>
        <v/>
      </c>
      <c r="L12" s="11" t="inlineStr">
        <is>
          <t>Implied EV</t>
        </is>
      </c>
      <c r="M12" s="17">
        <f>M10+M9</f>
        <v/>
      </c>
    </row>
    <row r="13" ht="12.75" customHeight="1" s="240">
      <c r="B13" s="89" t="inlineStr">
        <is>
          <t>EBIT</t>
        </is>
      </c>
      <c r="C13" s="247">
        <f>C7-C12</f>
        <v/>
      </c>
      <c r="D13" s="247">
        <f>D7-D12</f>
        <v/>
      </c>
      <c r="E13" s="22">
        <f>E7-E12</f>
        <v/>
      </c>
      <c r="F13" s="91">
        <f>F7-F12</f>
        <v/>
      </c>
      <c r="G13" s="91">
        <f>G7-G12</f>
        <v/>
      </c>
      <c r="H13" s="91">
        <f>H7-H12</f>
        <v/>
      </c>
      <c r="I13" s="91">
        <f>I7-I12</f>
        <v/>
      </c>
      <c r="J13" s="76">
        <f>J7-J12</f>
        <v/>
      </c>
      <c r="L13" s="11" t="n"/>
      <c r="M13" s="202" t="n"/>
    </row>
    <row r="14" ht="12.75" customHeight="1" s="240">
      <c r="B14" s="92" t="inlineStr">
        <is>
          <t xml:space="preserve">   EBIT Margin</t>
        </is>
      </c>
      <c r="C14" s="248">
        <f>C13/C4</f>
        <v/>
      </c>
      <c r="D14" s="248">
        <f>D13/D4</f>
        <v/>
      </c>
      <c r="E14" s="25">
        <f>E13/E4</f>
        <v/>
      </c>
      <c r="F14" s="248">
        <f>F13/F4</f>
        <v/>
      </c>
      <c r="G14" s="248">
        <f>G13/G4</f>
        <v/>
      </c>
      <c r="H14" s="248">
        <f>H13/H4</f>
        <v/>
      </c>
      <c r="I14" s="248">
        <f>I13/I4</f>
        <v/>
      </c>
      <c r="J14" s="25">
        <f>J13/J4</f>
        <v/>
      </c>
      <c r="L14" s="11" t="inlineStr">
        <is>
          <t>(+) Cash</t>
        </is>
      </c>
      <c r="M14" s="26">
        <f>'Key Stats'!B63</f>
        <v/>
      </c>
    </row>
    <row r="15" ht="12.75" customHeight="1" s="240">
      <c r="B15" s="18" t="inlineStr">
        <is>
          <t>(-) Income Tax Expense</t>
        </is>
      </c>
      <c r="C15" s="27">
        <f>'Annual IS'!B33</f>
        <v/>
      </c>
      <c r="D15" s="27">
        <f>'Annual IS'!C33</f>
        <v/>
      </c>
      <c r="E15" s="28">
        <f>'Annual IS'!D33</f>
        <v/>
      </c>
      <c r="F15" s="160">
        <f>MAX(F13,0)*F36</f>
        <v/>
      </c>
      <c r="G15" s="160">
        <f>MAX(G13,0)*G36</f>
        <v/>
      </c>
      <c r="H15" s="160">
        <f>MAX(H13,0)*H36</f>
        <v/>
      </c>
      <c r="I15" s="160">
        <f>MAX(I13,0)*I36</f>
        <v/>
      </c>
      <c r="J15" s="161">
        <f>MAX(J13,0)*J36</f>
        <v/>
      </c>
      <c r="L15" s="18" t="inlineStr">
        <is>
          <t>(-) Debt</t>
        </is>
      </c>
      <c r="M15" s="162" t="n">
        <v>0</v>
      </c>
    </row>
    <row r="16" ht="12.75" customHeight="1" s="240">
      <c r="B16" s="89" t="inlineStr">
        <is>
          <t>NOPAT</t>
        </is>
      </c>
      <c r="C16" s="247">
        <f>C13-C15</f>
        <v/>
      </c>
      <c r="D16" s="247">
        <f>D13-D15</f>
        <v/>
      </c>
      <c r="E16" s="22">
        <f>E13-E15</f>
        <v/>
      </c>
      <c r="F16" s="247">
        <f>F13-F15</f>
        <v/>
      </c>
      <c r="G16" s="247">
        <f>G13-G15</f>
        <v/>
      </c>
      <c r="H16" s="247">
        <f>H13-H15</f>
        <v/>
      </c>
      <c r="I16" s="247">
        <f>I13-I15</f>
        <v/>
      </c>
      <c r="J16" s="22">
        <f>J13-J15</f>
        <v/>
      </c>
      <c r="L16" s="11" t="inlineStr">
        <is>
          <t>Implied Equity Value</t>
        </is>
      </c>
      <c r="M16" s="17">
        <f>M12+M14-M15</f>
        <v/>
      </c>
    </row>
    <row r="17" ht="12.75" customHeight="1" s="240">
      <c r="B17" s="11" t="inlineStr">
        <is>
          <t>(+) D&amp;A</t>
        </is>
      </c>
      <c r="C17" s="249" t="n">
        <v>8.02</v>
      </c>
      <c r="D17" s="249" t="n">
        <v>9.125999999999999</v>
      </c>
      <c r="E17" s="163" t="n">
        <v>8.529</v>
      </c>
      <c r="F17" s="88">
        <f>F4*F37</f>
        <v/>
      </c>
      <c r="G17" s="88">
        <f>G4*G37</f>
        <v/>
      </c>
      <c r="H17" s="88">
        <f>H4*H37</f>
        <v/>
      </c>
      <c r="I17" s="88">
        <f>I4*I37</f>
        <v/>
      </c>
      <c r="J17" s="15">
        <f>J4*J37</f>
        <v/>
      </c>
      <c r="L17" s="11" t="n"/>
      <c r="M17" s="29" t="n"/>
    </row>
    <row r="18" ht="12.75" customHeight="1" s="240">
      <c r="B18" s="11" t="inlineStr">
        <is>
          <t>(+) SBC (historical only)</t>
        </is>
      </c>
      <c r="C18" s="241">
        <f>'Annual IS'!B93</f>
        <v/>
      </c>
      <c r="D18" s="241">
        <f>'Annual IS'!C93</f>
        <v/>
      </c>
      <c r="E18" s="157">
        <f>'Annual IS'!D93</f>
        <v/>
      </c>
      <c r="F18" s="246" t="n">
        <v>0</v>
      </c>
      <c r="G18" s="246" t="n">
        <v>0</v>
      </c>
      <c r="H18" s="246" t="n">
        <v>0</v>
      </c>
      <c r="I18" s="246" t="n">
        <v>0</v>
      </c>
      <c r="J18" s="159" t="n">
        <v>0</v>
      </c>
      <c r="L18" s="11" t="inlineStr">
        <is>
          <t>Shares Outstanding</t>
        </is>
      </c>
      <c r="M18" s="164">
        <f>'WACC Calculations'!C27</f>
        <v/>
      </c>
    </row>
    <row r="19" ht="12.75" customHeight="1" s="240">
      <c r="B19" s="11" t="inlineStr">
        <is>
          <t>(-) Changes in NWC</t>
        </is>
      </c>
      <c r="C19" s="249" t="n">
        <v>-0.095</v>
      </c>
      <c r="D19" s="249" t="n">
        <v>-15.22</v>
      </c>
      <c r="E19" s="163" t="n">
        <v>3.355</v>
      </c>
      <c r="F19" s="88">
        <f>F4*F38</f>
        <v/>
      </c>
      <c r="G19" s="88">
        <f>G4*G38</f>
        <v/>
      </c>
      <c r="H19" s="88">
        <f>H4*H38</f>
        <v/>
      </c>
      <c r="I19" s="88">
        <f>I4*I38</f>
        <v/>
      </c>
      <c r="J19" s="15">
        <f>J4*J38</f>
        <v/>
      </c>
      <c r="L19" s="11" t="n"/>
      <c r="M19" s="202" t="n"/>
    </row>
    <row r="20" ht="12.75" customHeight="1" s="240">
      <c r="B20" s="11" t="inlineStr">
        <is>
          <t>(-) CapEx</t>
        </is>
      </c>
      <c r="C20" s="249" t="n">
        <v>-4.802</v>
      </c>
      <c r="D20" s="249" t="n">
        <v>-4.451</v>
      </c>
      <c r="E20" s="163" t="n">
        <v>-5.914</v>
      </c>
      <c r="F20" s="88">
        <f>-F4*F39</f>
        <v/>
      </c>
      <c r="G20" s="88">
        <f>-G4*G39</f>
        <v/>
      </c>
      <c r="H20" s="88">
        <f>-H4*H39</f>
        <v/>
      </c>
      <c r="I20" s="88">
        <f>-I4*I39</f>
        <v/>
      </c>
      <c r="J20" s="15">
        <f>-J4*J39</f>
        <v/>
      </c>
      <c r="L20" s="11" t="inlineStr">
        <is>
          <t>Implied Stock Price</t>
        </is>
      </c>
      <c r="M20" s="30">
        <f>M16/M18</f>
        <v/>
      </c>
    </row>
    <row r="21" ht="12.75" customHeight="1" s="240">
      <c r="B21" s="89" t="inlineStr">
        <is>
          <t>UFCF</t>
        </is>
      </c>
      <c r="C21" s="247">
        <f>SUM(C16:C20)</f>
        <v/>
      </c>
      <c r="D21" s="247">
        <f>SUM(D16:D20)</f>
        <v/>
      </c>
      <c r="E21" s="22">
        <f>SUM(E16:E20)</f>
        <v/>
      </c>
      <c r="F21" s="247">
        <f>SUM(F16:F20)</f>
        <v/>
      </c>
      <c r="G21" s="247">
        <f>SUM(G16:G20)</f>
        <v/>
      </c>
      <c r="H21" s="247">
        <f>SUM(H16:H20)</f>
        <v/>
      </c>
      <c r="I21" s="247">
        <f>SUM(I16:I20)</f>
        <v/>
      </c>
      <c r="J21" s="22">
        <f>SUM(J16:J20)</f>
        <v/>
      </c>
      <c r="L21" s="18" t="inlineStr">
        <is>
          <t>Current Stock Price</t>
        </is>
      </c>
      <c r="M21" s="97">
        <f>'WACC Calculations'!C15</f>
        <v/>
      </c>
      <c r="N21" s="31" t="n"/>
      <c r="O21" s="32" t="n"/>
    </row>
    <row r="22" ht="12.75" customHeight="1" s="240">
      <c r="B22" s="94" t="inlineStr">
        <is>
          <t xml:space="preserve">   UFCF Margin</t>
        </is>
      </c>
      <c r="C22" s="74">
        <f>C21/C4</f>
        <v/>
      </c>
      <c r="D22" s="74">
        <f>D21/D4</f>
        <v/>
      </c>
      <c r="E22" s="75">
        <f>E21/E4</f>
        <v/>
      </c>
      <c r="F22" s="74">
        <f>F21/F4</f>
        <v/>
      </c>
      <c r="G22" s="74">
        <f>G21/G4</f>
        <v/>
      </c>
      <c r="H22" s="74">
        <f>H21/H4</f>
        <v/>
      </c>
      <c r="I22" s="74">
        <f>I21/I4</f>
        <v/>
      </c>
      <c r="J22" s="75">
        <f>J21/J4</f>
        <v/>
      </c>
      <c r="L22" s="33" t="inlineStr">
        <is>
          <t>Implied Upside/(Downside)</t>
        </is>
      </c>
      <c r="M22" s="34">
        <f>M20/M21-1</f>
        <v/>
      </c>
    </row>
    <row r="23" ht="12.75" customHeight="1" s="240">
      <c r="B23" s="11" t="inlineStr">
        <is>
          <t>Stub Period Fraction</t>
        </is>
      </c>
      <c r="E23" s="13" t="n"/>
      <c r="F23" s="95">
        <f>(DATE(F$3,12,31)-$M$23)/365</f>
        <v/>
      </c>
      <c r="G23" s="95" t="n">
        <v>1</v>
      </c>
      <c r="H23" s="95" t="n">
        <v>1</v>
      </c>
      <c r="I23" s="95" t="n">
        <v>1</v>
      </c>
      <c r="J23" s="77" t="n">
        <v>1</v>
      </c>
      <c r="L23" s="1" t="inlineStr">
        <is>
          <t>Valuation Date</t>
        </is>
      </c>
      <c r="M23" s="35">
        <f>DATE(2026,9,10)</f>
        <v/>
      </c>
    </row>
    <row r="24" ht="12.75" customHeight="1" s="240">
      <c r="B24" s="11" t="inlineStr">
        <is>
          <t>WACC</t>
        </is>
      </c>
      <c r="E24" s="13" t="n"/>
      <c r="F24" s="96">
        <f>'WACC Calculations'!$C$13</f>
        <v/>
      </c>
      <c r="G24" s="96">
        <f>F24</f>
        <v/>
      </c>
      <c r="H24" s="96">
        <f>G24</f>
        <v/>
      </c>
      <c r="I24" s="96">
        <f>H24</f>
        <v/>
      </c>
      <c r="J24" s="78">
        <f>I24</f>
        <v/>
      </c>
    </row>
    <row r="25" ht="12.75" customHeight="1" s="240">
      <c r="B25" s="11" t="inlineStr">
        <is>
          <t>Discount Period</t>
        </is>
      </c>
      <c r="E25" s="13" t="n"/>
      <c r="F25" s="95">
        <f>F23/2</f>
        <v/>
      </c>
      <c r="G25" s="95">
        <f>F23+0.5</f>
        <v/>
      </c>
      <c r="H25" s="95">
        <f>G25+1</f>
        <v/>
      </c>
      <c r="I25" s="95">
        <f>H25+1</f>
        <v/>
      </c>
      <c r="J25" s="77">
        <f>I25+1</f>
        <v/>
      </c>
      <c r="L25" s="200" t="inlineStr">
        <is>
          <t>Exit Multiple Method</t>
        </is>
      </c>
      <c r="M25" s="257" t="n"/>
    </row>
    <row r="26" ht="12.75" customHeight="1" s="240">
      <c r="B26" s="11" t="inlineStr">
        <is>
          <t>Discount Factor</t>
        </is>
      </c>
      <c r="E26" s="13" t="n"/>
      <c r="F26" s="95">
        <f>(1+F24)^F25</f>
        <v/>
      </c>
      <c r="G26" s="95">
        <f>(1+G24)^G25</f>
        <v/>
      </c>
      <c r="H26" s="95">
        <f>(1+H24)^H25</f>
        <v/>
      </c>
      <c r="I26" s="95">
        <f>(1+I24)^I25</f>
        <v/>
      </c>
      <c r="J26" s="77">
        <f>(1+J24)^J25</f>
        <v/>
      </c>
      <c r="L26" s="5" t="inlineStr">
        <is>
          <t>Last Year Revenue</t>
        </is>
      </c>
      <c r="M26" s="36">
        <f>J4</f>
        <v/>
      </c>
      <c r="N26" s="31" t="n"/>
      <c r="O26" s="32" t="n"/>
    </row>
    <row r="27" ht="12.75" customHeight="1" s="240">
      <c r="B27" s="89" t="inlineStr">
        <is>
          <t>UFCF Counted (x Stub Fraction)</t>
        </is>
      </c>
      <c r="C27" s="247" t="n"/>
      <c r="D27" s="247" t="n"/>
      <c r="E27" s="22" t="n"/>
      <c r="F27" s="247">
        <f>F21*F23</f>
        <v/>
      </c>
      <c r="G27" s="247">
        <f>G21*G23</f>
        <v/>
      </c>
      <c r="H27" s="247">
        <f>H21*H23</f>
        <v/>
      </c>
      <c r="I27" s="247">
        <f>I21*I23</f>
        <v/>
      </c>
      <c r="J27" s="22">
        <f>J21*J23</f>
        <v/>
      </c>
      <c r="L27" s="8" t="inlineStr">
        <is>
          <t>Terminal EV/Revenue Multiple</t>
        </is>
      </c>
      <c r="M27" s="37" t="n">
        <v>2.5</v>
      </c>
    </row>
    <row r="28" ht="12.75" customHeight="1" s="240">
      <c r="B28" s="89" t="inlineStr">
        <is>
          <t>NPV of UFCF</t>
        </is>
      </c>
      <c r="E28" s="13" t="n"/>
      <c r="F28" s="247">
        <f>F27/F26</f>
        <v/>
      </c>
      <c r="G28" s="247">
        <f>G27/G26</f>
        <v/>
      </c>
      <c r="H28" s="247">
        <f>H27/H26</f>
        <v/>
      </c>
      <c r="I28" s="247">
        <f>I27/I26</f>
        <v/>
      </c>
      <c r="J28" s="22">
        <f>J27/J26</f>
        <v/>
      </c>
      <c r="L28" s="11" t="inlineStr">
        <is>
          <t>TV</t>
        </is>
      </c>
      <c r="M28" s="6">
        <f>M27*M26</f>
        <v/>
      </c>
    </row>
    <row r="29" ht="12.75" customHeight="1" s="240">
      <c r="B29" s="18" t="inlineStr">
        <is>
          <t>Diluted Shares Outstanding (mm)</t>
        </is>
      </c>
      <c r="C29" s="38">
        <f>'Annual IS'!B55</f>
        <v/>
      </c>
      <c r="D29" s="38">
        <f>'Annual IS'!C55</f>
        <v/>
      </c>
      <c r="E29" s="39">
        <f>'Annual IS'!D55</f>
        <v/>
      </c>
      <c r="F29" s="38">
        <f>'WACC Calculations'!C27*(1+F40)</f>
        <v/>
      </c>
      <c r="G29" s="40">
        <f>F29*(1+G40)</f>
        <v/>
      </c>
      <c r="H29" s="40">
        <f>G29*(1+H40)</f>
        <v/>
      </c>
      <c r="I29" s="40">
        <f>H29*(1+I40)</f>
        <v/>
      </c>
      <c r="J29" s="79">
        <f>I29*(1+J40)</f>
        <v/>
      </c>
      <c r="L29" s="11" t="n"/>
      <c r="M29" s="13" t="n"/>
    </row>
    <row r="30" ht="12.75" customHeight="1" s="240">
      <c r="L30" s="11" t="inlineStr">
        <is>
          <t>PV of TV</t>
        </is>
      </c>
      <c r="M30" s="17">
        <f>M28/(1+F24)^(F23+4)</f>
        <v/>
      </c>
    </row>
    <row r="31" ht="12.75" customHeight="1" s="240">
      <c r="B31" s="207" t="inlineStr">
        <is>
          <t>Drivers</t>
        </is>
      </c>
      <c r="L31" s="18" t="inlineStr">
        <is>
          <t>PV of FCF</t>
        </is>
      </c>
      <c r="M31" s="19">
        <f>SUM(F28:J28)</f>
        <v/>
      </c>
    </row>
    <row r="32" ht="12.75" customHeight="1" s="240">
      <c r="B32" s="24" t="inlineStr">
        <is>
          <t>COGS as a % of Revenue</t>
        </is>
      </c>
      <c r="C32" s="41">
        <f>C6/C4</f>
        <v/>
      </c>
      <c r="D32" s="41">
        <f>D6/D4</f>
        <v/>
      </c>
      <c r="E32" s="42">
        <f>E6/E4</f>
        <v/>
      </c>
      <c r="F32" s="165">
        <f>1-'Revenue Build'!F31</f>
        <v/>
      </c>
      <c r="G32" s="166">
        <f>1-'Revenue Build'!G31</f>
        <v/>
      </c>
      <c r="H32" s="166">
        <f>1-'Revenue Build'!H31</f>
        <v/>
      </c>
      <c r="I32" s="166">
        <f>1-'Revenue Build'!I31</f>
        <v/>
      </c>
      <c r="J32" s="166">
        <f>1-'Revenue Build'!J31</f>
        <v/>
      </c>
      <c r="L32" s="11" t="inlineStr">
        <is>
          <t>Implied EV</t>
        </is>
      </c>
      <c r="M32" s="17">
        <f>M31+M30</f>
        <v/>
      </c>
    </row>
    <row r="33" ht="12.75" customHeight="1" s="240">
      <c r="B33" s="24" t="inlineStr">
        <is>
          <t>Hour-driven G&amp;A (% of services revenue)</t>
        </is>
      </c>
      <c r="C33" s="232" t="n">
        <v>0.065</v>
      </c>
      <c r="D33" s="232" t="n">
        <v>0.065</v>
      </c>
      <c r="E33" s="168" t="n">
        <v>0.065</v>
      </c>
      <c r="F33" s="98" t="n">
        <v>0.065</v>
      </c>
      <c r="G33" s="99" t="n">
        <v>0.065</v>
      </c>
      <c r="H33" s="99" t="n">
        <v>0.065</v>
      </c>
      <c r="I33" s="99" t="n">
        <v>0.065</v>
      </c>
      <c r="J33" s="99" t="n">
        <v>0.065</v>
      </c>
      <c r="L33" s="11" t="n"/>
      <c r="M33" s="62" t="n"/>
    </row>
    <row r="34" ht="12.75" customHeight="1" s="240">
      <c r="B34" s="24" t="inlineStr">
        <is>
          <t>Fixed opex growth</t>
        </is>
      </c>
      <c r="C34" s="41" t="n"/>
      <c r="D34" s="41">
        <f>D10/C10-1</f>
        <v/>
      </c>
      <c r="E34" s="42">
        <f>E10/D10-1</f>
        <v/>
      </c>
      <c r="F34" s="98" t="n">
        <v>0.08</v>
      </c>
      <c r="G34" s="99" t="n">
        <v>0.04</v>
      </c>
      <c r="H34" s="99" t="n">
        <v>0.04</v>
      </c>
      <c r="I34" s="99" t="n">
        <v>0.04</v>
      </c>
      <c r="J34" s="99" t="n">
        <v>0.04</v>
      </c>
      <c r="L34" s="11" t="inlineStr">
        <is>
          <t>(+) Cash</t>
        </is>
      </c>
      <c r="M34" s="101">
        <f>M14</f>
        <v/>
      </c>
    </row>
    <row r="35" ht="12.75" customHeight="1" s="240">
      <c r="B35" s="24" t="inlineStr">
        <is>
          <t>SBC as a % of Revenue</t>
        </is>
      </c>
      <c r="C35" s="41">
        <f>C11/C4</f>
        <v/>
      </c>
      <c r="D35" s="41">
        <f>D11/D4</f>
        <v/>
      </c>
      <c r="E35" s="42">
        <f>E11/E4</f>
        <v/>
      </c>
      <c r="F35" s="98" t="n">
        <v>0.12</v>
      </c>
      <c r="G35" s="99" t="n">
        <v>0.1</v>
      </c>
      <c r="H35" s="99" t="n">
        <v>0.08</v>
      </c>
      <c r="I35" s="99" t="n">
        <v>0.07000000000000001</v>
      </c>
      <c r="J35" s="99" t="n">
        <v>0.06</v>
      </c>
      <c r="L35" s="18" t="inlineStr">
        <is>
          <t>(-) Debt</t>
        </is>
      </c>
      <c r="M35" s="102">
        <f>M15</f>
        <v/>
      </c>
    </row>
    <row r="36" ht="12.75" customHeight="1" s="240">
      <c r="B36" s="24" t="inlineStr">
        <is>
          <t>Effective Tax Rate</t>
        </is>
      </c>
      <c r="C36" s="41">
        <f>IF(C13&gt;0,C15/C13,0)</f>
        <v/>
      </c>
      <c r="D36" s="41">
        <f>IF(D13&gt;0,D15/D13,0)</f>
        <v/>
      </c>
      <c r="E36" s="42">
        <f>IF(E13&gt;0,E15/E13,0)</f>
        <v/>
      </c>
      <c r="F36" s="98" t="n">
        <v>0.21</v>
      </c>
      <c r="G36" s="99" t="n">
        <v>0.21</v>
      </c>
      <c r="H36" s="99" t="n">
        <v>0.21</v>
      </c>
      <c r="I36" s="99" t="n">
        <v>0.21</v>
      </c>
      <c r="J36" s="99" t="n">
        <v>0.21</v>
      </c>
      <c r="L36" s="11" t="inlineStr">
        <is>
          <t>Implied Equity Value</t>
        </is>
      </c>
      <c r="M36" s="101">
        <f>M32+M34-M35</f>
        <v/>
      </c>
    </row>
    <row r="37" ht="12.75" customHeight="1" s="240">
      <c r="B37" s="24" t="inlineStr">
        <is>
          <t>D&amp;A as a % of Revenue</t>
        </is>
      </c>
      <c r="C37" s="41">
        <f>C17/C4</f>
        <v/>
      </c>
      <c r="D37" s="41">
        <f>D17/D4</f>
        <v/>
      </c>
      <c r="E37" s="42">
        <f>E17/E4</f>
        <v/>
      </c>
      <c r="F37" s="98" t="n">
        <v>0.018</v>
      </c>
      <c r="G37" s="99" t="n">
        <v>0.018</v>
      </c>
      <c r="H37" s="99" t="n">
        <v>0.018</v>
      </c>
      <c r="I37" s="99" t="n">
        <v>0.018</v>
      </c>
      <c r="J37" s="99" t="n">
        <v>0.018</v>
      </c>
      <c r="L37" s="11" t="n"/>
      <c r="M37" s="62" t="n"/>
    </row>
    <row r="38" ht="12.75" customHeight="1" s="240">
      <c r="B38" s="24" t="inlineStr">
        <is>
          <t>Changes in NWC as a % of Revenue</t>
        </is>
      </c>
      <c r="C38" s="41">
        <f>C19/C4</f>
        <v/>
      </c>
      <c r="D38" s="41">
        <f>D19/D4</f>
        <v/>
      </c>
      <c r="E38" s="42">
        <f>E19/E4</f>
        <v/>
      </c>
      <c r="F38" s="98" t="n">
        <v>-0.015</v>
      </c>
      <c r="G38" s="99" t="n">
        <v>-0.015</v>
      </c>
      <c r="H38" s="99" t="n">
        <v>-0.015</v>
      </c>
      <c r="I38" s="99" t="n">
        <v>-0.015</v>
      </c>
      <c r="J38" s="99" t="n">
        <v>-0.015</v>
      </c>
      <c r="L38" s="11" t="inlineStr">
        <is>
          <t>Shares Outstanding</t>
        </is>
      </c>
      <c r="M38" s="62">
        <f>M18</f>
        <v/>
      </c>
    </row>
    <row r="39" ht="12.75" customHeight="1" s="240">
      <c r="B39" s="24" t="inlineStr">
        <is>
          <t>Capex as a % of Revenue</t>
        </is>
      </c>
      <c r="C39" s="41">
        <f>-C20/C4</f>
        <v/>
      </c>
      <c r="D39" s="41">
        <f>-D20/D4</f>
        <v/>
      </c>
      <c r="E39" s="42">
        <f>-E20/E4</f>
        <v/>
      </c>
      <c r="F39" s="98" t="n">
        <v>0.014</v>
      </c>
      <c r="G39" s="99" t="n">
        <v>0.014</v>
      </c>
      <c r="H39" s="99" t="n">
        <v>0.014</v>
      </c>
      <c r="I39" s="99" t="n">
        <v>0.014</v>
      </c>
      <c r="J39" s="99" t="n">
        <v>0.014</v>
      </c>
      <c r="L39" s="11" t="n"/>
      <c r="M39" s="202" t="n"/>
    </row>
    <row r="40" ht="12.75" customHeight="1" s="240">
      <c r="B40" s="24" t="inlineStr">
        <is>
          <t>Diluted Share Count Growth</t>
        </is>
      </c>
      <c r="C40" s="41" t="n"/>
      <c r="D40" s="41" t="n"/>
      <c r="E40" s="42" t="n"/>
      <c r="F40" s="98" t="n">
        <v>0.025</v>
      </c>
      <c r="G40" s="99" t="n">
        <v>0.025</v>
      </c>
      <c r="H40" s="99" t="n">
        <v>0.025</v>
      </c>
      <c r="I40" s="99" t="n">
        <v>0.025</v>
      </c>
      <c r="J40" s="99" t="n">
        <v>0.025</v>
      </c>
      <c r="L40" s="11" t="inlineStr">
        <is>
          <t>Implied Stock Price</t>
        </is>
      </c>
      <c r="M40" s="30">
        <f>M36/M38</f>
        <v/>
      </c>
    </row>
    <row r="41" ht="12.75" customHeight="1" s="240">
      <c r="L41" s="11" t="inlineStr">
        <is>
          <t>Current Stock Price</t>
        </is>
      </c>
      <c r="M41" s="100">
        <f>M21</f>
        <v/>
      </c>
      <c r="N41" s="31" t="n"/>
      <c r="O41" s="32" t="n"/>
    </row>
    <row r="42" ht="12.75" customHeight="1" s="240">
      <c r="L42" s="33" t="inlineStr">
        <is>
          <t>Implied Upside/(Downside)</t>
        </is>
      </c>
      <c r="M42" s="34">
        <f>M40/M41-1</f>
        <v/>
      </c>
    </row>
    <row r="43" ht="12.75" customHeight="1" s="240">
      <c r="B43" s="24" t="n"/>
      <c r="C43" s="247" t="n"/>
      <c r="D43" s="247" t="n"/>
      <c r="E43" s="247" t="n"/>
      <c r="F43" s="247" t="n"/>
      <c r="G43" s="247" t="n"/>
      <c r="H43" s="247" t="n"/>
      <c r="I43" s="247" t="n"/>
      <c r="J43" s="247" t="n"/>
    </row>
    <row r="44" ht="12.75" customHeight="1" s="240">
      <c r="B44" s="24" t="n"/>
      <c r="F44" s="241" t="n"/>
      <c r="G44" s="241" t="n"/>
      <c r="H44" s="241" t="n"/>
    </row>
    <row r="45" ht="12.75" customHeight="1" s="240">
      <c r="B45" s="24" t="n"/>
      <c r="F45" s="244" t="n"/>
      <c r="G45" s="244" t="n"/>
      <c r="H45" s="244" t="n"/>
      <c r="L45" s="200" t="inlineStr">
        <is>
          <t>Blended Share Price Calculations</t>
        </is>
      </c>
      <c r="M45" s="257" t="n"/>
    </row>
    <row r="46" ht="12.75" customHeight="1" s="240">
      <c r="L46" s="5" t="inlineStr">
        <is>
          <t>Gordon Growth Method</t>
        </is>
      </c>
      <c r="M46" s="43">
        <f>M20</f>
        <v/>
      </c>
    </row>
    <row r="47" ht="12.75" customHeight="1" s="240">
      <c r="L47" s="8" t="inlineStr">
        <is>
          <t>Exit Multiple Method</t>
        </is>
      </c>
      <c r="M47" s="44">
        <f>M40</f>
        <v/>
      </c>
    </row>
    <row r="48" ht="12.75" customHeight="1" s="240">
      <c r="L48" s="11" t="inlineStr">
        <is>
          <t>Blended Share Price Target</t>
        </is>
      </c>
      <c r="M48" s="30">
        <f>AVERAGE(M46:M47)</f>
        <v/>
      </c>
    </row>
    <row r="49" ht="12.75" customHeight="1" s="240">
      <c r="L49" s="45" t="inlineStr">
        <is>
          <t>Implied Upside/(Downside)</t>
        </is>
      </c>
      <c r="M49" s="46">
        <f>M48/M41-1</f>
        <v/>
      </c>
    </row>
  </sheetData>
  <mergeCells count="6">
    <mergeCell ref="C2:E2"/>
    <mergeCell ref="L2:M2"/>
    <mergeCell ref="B31:J31"/>
    <mergeCell ref="L25:M25"/>
    <mergeCell ref="L45:M45"/>
    <mergeCell ref="F2:J2"/>
  </mergeCells>
  <pageMargins left="0.7" right="0.7" top="0.75" bottom="0.75" header="0.511811023622047" footer="0.511811023622047"/>
  <pageSetup orientation="portrait"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2:J37"/>
  <sheetViews>
    <sheetView showGridLines="0" zoomScale="106" zoomScaleNormal="81" workbookViewId="0">
      <selection activeCell="C4" sqref="C4:G8"/>
    </sheetView>
  </sheetViews>
  <sheetFormatPr baseColWidth="10" defaultColWidth="9.1640625" defaultRowHeight="13"/>
  <cols>
    <col width="44" customWidth="1" style="240" min="2" max="2"/>
    <col width="12" customWidth="1" style="240" min="3" max="10"/>
  </cols>
  <sheetData>
    <row r="2" ht="12.75" customHeight="1" s="240">
      <c r="B2" s="203" t="n"/>
      <c r="C2" s="204" t="inlineStr">
        <is>
          <t>Historicals</t>
        </is>
      </c>
      <c r="E2" s="13" t="n"/>
      <c r="F2" s="207" t="inlineStr">
        <is>
          <t>Forecasts</t>
        </is>
      </c>
    </row>
    <row r="3" ht="12.75" customHeight="1" s="240">
      <c r="B3" s="47" t="inlineStr">
        <is>
          <t>Revenue ($ millions)</t>
        </is>
      </c>
      <c r="C3" s="229" t="n">
        <v>2023</v>
      </c>
      <c r="D3" s="229">
        <f>C3+1</f>
        <v/>
      </c>
      <c r="E3" s="4">
        <f>D3+1</f>
        <v/>
      </c>
      <c r="F3" s="229">
        <f>E3+1</f>
        <v/>
      </c>
      <c r="G3" s="229">
        <f>F3+1</f>
        <v/>
      </c>
      <c r="H3" s="229">
        <f>G3+1</f>
        <v/>
      </c>
      <c r="I3" s="229">
        <f>H3+1</f>
        <v/>
      </c>
      <c r="J3" s="229">
        <f>I3+1</f>
        <v/>
      </c>
    </row>
    <row r="4" ht="12.75" customHeight="1" s="240">
      <c r="B4" t="inlineStr">
        <is>
          <t>Software (platform)</t>
        </is>
      </c>
      <c r="C4" s="230" t="n">
        <v>57.9</v>
      </c>
      <c r="D4" s="230" t="n">
        <v>78.59999999999999</v>
      </c>
      <c r="E4" s="49" t="n">
        <v>101.1</v>
      </c>
      <c r="F4" s="48">
        <f>E4*(1+F19)</f>
        <v/>
      </c>
      <c r="G4" s="48">
        <f>F4*(1+G19)</f>
        <v/>
      </c>
      <c r="H4" s="48">
        <f>G4*(1+H19)</f>
        <v/>
      </c>
      <c r="I4" s="48">
        <f>H4*(1+I19)</f>
        <v/>
      </c>
      <c r="J4" s="48">
        <f>I4*(1+J19)</f>
        <v/>
      </c>
    </row>
    <row r="5" ht="12.75" customHeight="1" s="240">
      <c r="B5" s="21" t="inlineStr">
        <is>
          <t>Services</t>
        </is>
      </c>
      <c r="C5" s="221">
        <f>C6+C7</f>
        <v/>
      </c>
      <c r="D5" s="221">
        <f>D6+D7</f>
        <v/>
      </c>
      <c r="E5" s="51">
        <f>E6+E7</f>
        <v/>
      </c>
      <c r="F5" s="221">
        <f>F6+F7</f>
        <v/>
      </c>
      <c r="G5" s="221">
        <f>G6+G7</f>
        <v/>
      </c>
      <c r="H5" s="221">
        <f>H6+H7</f>
        <v/>
      </c>
      <c r="I5" s="221">
        <f>I6+I7</f>
        <v/>
      </c>
      <c r="J5" s="221">
        <f>J6+J7</f>
        <v/>
      </c>
    </row>
    <row r="6" ht="12.75" customHeight="1" s="240">
      <c r="B6" t="inlineStr">
        <is>
          <t xml:space="preserve">  Microtransit &amp; paratransit</t>
        </is>
      </c>
      <c r="C6" s="230">
        <f>C9-C8-C4-C7</f>
        <v/>
      </c>
      <c r="D6" s="230">
        <f>D9-D8-D4-D7</f>
        <v/>
      </c>
      <c r="E6" s="49">
        <f>E9-E8-E4-E7</f>
        <v/>
      </c>
      <c r="F6" s="48">
        <f>E6*(1+F20)</f>
        <v/>
      </c>
      <c r="G6" s="48">
        <f>F6*(1+G20)</f>
        <v/>
      </c>
      <c r="H6" s="48">
        <f>G6*(1+H20)</f>
        <v/>
      </c>
      <c r="I6" s="48">
        <f>H6*(1+I20)</f>
        <v/>
      </c>
      <c r="J6" s="48">
        <f>I6*(1+J20)</f>
        <v/>
      </c>
    </row>
    <row r="7" ht="12.75" customFormat="1" customHeight="1" s="24">
      <c r="B7" t="inlineStr">
        <is>
          <t xml:space="preserve">  Network deals</t>
        </is>
      </c>
      <c r="C7" s="230" t="n">
        <v>0</v>
      </c>
      <c r="D7" s="230" t="n">
        <v>11.1</v>
      </c>
      <c r="E7" s="49" t="n">
        <v>14.4</v>
      </c>
      <c r="F7" s="48">
        <f>E22+0.5*F21</f>
        <v/>
      </c>
      <c r="G7" s="48">
        <f>F22+0.5*G21</f>
        <v/>
      </c>
      <c r="H7" s="48">
        <f>G22+0.5*H21</f>
        <v/>
      </c>
      <c r="I7" s="48">
        <f>H22+0.5*I21</f>
        <v/>
      </c>
      <c r="J7" s="48">
        <f>I22+0.5*J21</f>
        <v/>
      </c>
    </row>
    <row r="8" ht="12.75" customHeight="1" s="240">
      <c r="B8" s="24" t="inlineStr">
        <is>
          <t>One-time (implementation, consulting)</t>
        </is>
      </c>
      <c r="C8" s="230">
        <f>C9*C23</f>
        <v/>
      </c>
      <c r="D8" s="230">
        <f>D9*D23</f>
        <v/>
      </c>
      <c r="E8" s="49">
        <f>E9*E23</f>
        <v/>
      </c>
      <c r="F8" s="48">
        <f>(F4+F5)*F23/(1-F23)</f>
        <v/>
      </c>
      <c r="G8" s="48">
        <f>(G4+G5)*G23/(1-G23)</f>
        <v/>
      </c>
      <c r="H8" s="48">
        <f>(H4+H5)*H23/(1-H23)</f>
        <v/>
      </c>
      <c r="I8" s="48">
        <f>(I4+I5)*I23/(1-I23)</f>
        <v/>
      </c>
      <c r="J8" s="48">
        <f>(J4+J5)*J23/(1-J23)</f>
        <v/>
      </c>
    </row>
    <row r="9" ht="12.75" customHeight="1" s="240">
      <c r="B9" s="21" t="inlineStr">
        <is>
          <t>Total net revenue</t>
        </is>
      </c>
      <c r="C9" s="220">
        <f>'Annual IS'!B7</f>
        <v/>
      </c>
      <c r="D9" s="220">
        <f>'Annual IS'!C7</f>
        <v/>
      </c>
      <c r="E9" s="173">
        <f>'Annual IS'!D7</f>
        <v/>
      </c>
      <c r="F9" s="221">
        <f>F4+F5+F8</f>
        <v/>
      </c>
      <c r="G9" s="221">
        <f>G4+G5+G8</f>
        <v/>
      </c>
      <c r="H9" s="221">
        <f>H4+H5+H8</f>
        <v/>
      </c>
      <c r="I9" s="221">
        <f>I4+I5+I8</f>
        <v/>
      </c>
      <c r="J9" s="221">
        <f>J4+J5+J8</f>
        <v/>
      </c>
    </row>
    <row r="10" ht="12.75" customHeight="1" s="240">
      <c r="B10" s="174" t="inlineStr">
        <is>
          <t xml:space="preserve">   % growth</t>
        </is>
      </c>
      <c r="C10" s="175" t="n"/>
      <c r="D10" s="52">
        <f>D9/C9-1</f>
        <v/>
      </c>
      <c r="E10" s="53">
        <f>E9/D9-1</f>
        <v/>
      </c>
      <c r="F10" s="52">
        <f>F9/E9-1</f>
        <v/>
      </c>
      <c r="G10" s="52">
        <f>G9/F9-1</f>
        <v/>
      </c>
      <c r="H10" s="52">
        <f>H9/G9-1</f>
        <v/>
      </c>
      <c r="I10" s="52">
        <f>I9/H9-1</f>
        <v/>
      </c>
      <c r="J10" s="52">
        <f>J9/I9-1</f>
        <v/>
      </c>
    </row>
    <row r="11" ht="12.75" customHeight="1" s="240">
      <c r="A11" s="21" t="n"/>
      <c r="B11" s="54" t="inlineStr">
        <is>
          <t>Consensus</t>
        </is>
      </c>
      <c r="C11" s="231">
        <f>C9</f>
        <v/>
      </c>
      <c r="D11" s="231">
        <f>D9</f>
        <v/>
      </c>
      <c r="E11" s="176">
        <f>E9</f>
        <v/>
      </c>
      <c r="F11" s="177">
        <f>'Consensus (BBG)'!P7</f>
        <v/>
      </c>
      <c r="G11" s="177">
        <f>'Consensus (BBG)'!Q7</f>
        <v/>
      </c>
      <c r="H11" s="177">
        <f>'Key Stats'!H16</f>
        <v/>
      </c>
      <c r="I11" s="178" t="n"/>
      <c r="J11" s="178" t="n"/>
    </row>
    <row r="12" ht="12.75" customHeight="1" s="240">
      <c r="B12" s="179" t="inlineStr">
        <is>
          <t xml:space="preserve">   % growth</t>
        </is>
      </c>
      <c r="C12" s="223" t="n"/>
      <c r="D12" s="223">
        <f>D11/C11-1</f>
        <v/>
      </c>
      <c r="E12" s="55">
        <f>E11/D11-1</f>
        <v/>
      </c>
      <c r="F12" s="56">
        <f>F11/E11-1</f>
        <v/>
      </c>
      <c r="G12" s="56">
        <f>G11/F11-1</f>
        <v/>
      </c>
      <c r="H12" s="56">
        <f>H11/G11-1</f>
        <v/>
      </c>
      <c r="I12" s="56" t="n"/>
      <c r="J12" s="56" t="n"/>
    </row>
    <row r="13" ht="12.75" customHeight="1" s="240">
      <c r="B13" s="179" t="inlineStr">
        <is>
          <t xml:space="preserve">   Model vs consensus</t>
        </is>
      </c>
      <c r="C13" s="223" t="n"/>
      <c r="D13" s="223" t="n"/>
      <c r="E13" s="55" t="n"/>
      <c r="F13" s="56">
        <f>F9/F11-1</f>
        <v/>
      </c>
      <c r="G13" s="56">
        <f>G9/G11-1</f>
        <v/>
      </c>
      <c r="H13" s="56">
        <f>H9/H11-1</f>
        <v/>
      </c>
      <c r="I13" s="56" t="n"/>
      <c r="J13" s="56" t="n"/>
    </row>
    <row r="14" ht="12.75" customHeight="1" s="240">
      <c r="B14" s="24" t="inlineStr">
        <is>
          <t>Services % of revenue</t>
        </is>
      </c>
      <c r="C14" s="232">
        <f>C5/C9</f>
        <v/>
      </c>
      <c r="D14" s="232">
        <f>D5/D9</f>
        <v/>
      </c>
      <c r="E14" s="168">
        <f>E5/E9</f>
        <v/>
      </c>
      <c r="F14" s="222">
        <f>F5/F9</f>
        <v/>
      </c>
      <c r="G14" s="222">
        <f>G5/G9</f>
        <v/>
      </c>
      <c r="H14" s="222">
        <f>H5/H9</f>
        <v/>
      </c>
      <c r="I14" s="222">
        <f>I5/I9</f>
        <v/>
      </c>
      <c r="J14" s="222">
        <f>J5/J9</f>
        <v/>
      </c>
    </row>
    <row r="15" ht="12.75" customHeight="1" s="240">
      <c r="B15" s="24" t="inlineStr">
        <is>
          <t>Network deals % of revenue</t>
        </is>
      </c>
      <c r="C15" s="232">
        <f>C7/C9</f>
        <v/>
      </c>
      <c r="D15" s="232">
        <f>D7/D9</f>
        <v/>
      </c>
      <c r="E15" s="168">
        <f>E7/E9</f>
        <v/>
      </c>
      <c r="F15" s="222">
        <f>F7/F9</f>
        <v/>
      </c>
      <c r="G15" s="222">
        <f>G7/G9</f>
        <v/>
      </c>
      <c r="H15" s="222">
        <f>H7/H9</f>
        <v/>
      </c>
      <c r="I15" s="222">
        <f>I7/I9</f>
        <v/>
      </c>
      <c r="J15" s="222">
        <f>J7/J9</f>
        <v/>
      </c>
    </row>
    <row r="16" ht="12.75" customHeight="1" s="240">
      <c r="B16" s="24" t="inlineStr">
        <is>
          <t>Network deals share of revenue growth</t>
        </is>
      </c>
      <c r="C16" s="232" t="n"/>
      <c r="D16" s="232">
        <f>(D7-C7)/(D9-C9)</f>
        <v/>
      </c>
      <c r="E16" s="168">
        <f>(E7-D7)/(E9-D9)</f>
        <v/>
      </c>
      <c r="F16" s="222">
        <f>(F7-E7)/(F9-E9)</f>
        <v/>
      </c>
      <c r="G16" s="222">
        <f>(G7-F7)/(G9-F9)</f>
        <v/>
      </c>
      <c r="H16" s="222">
        <f>(H7-G7)/(H9-G9)</f>
        <v/>
      </c>
      <c r="I16" s="222">
        <f>(I7-H7)/(I9-H9)</f>
        <v/>
      </c>
      <c r="J16" s="222">
        <f>(J7-I7)/(J9-I9)</f>
        <v/>
      </c>
    </row>
    <row r="17" ht="12.75" customFormat="1" customHeight="1" s="233">
      <c r="C17" s="233" t="n"/>
      <c r="D17" s="233" t="n"/>
      <c r="E17" s="234" t="n"/>
    </row>
    <row r="18" ht="12.75" customHeight="1" s="240">
      <c r="B18" s="208" t="inlineStr">
        <is>
          <t>DRIVERS</t>
        </is>
      </c>
      <c r="C18" s="235" t="n"/>
      <c r="D18" s="218" t="n"/>
      <c r="E18" s="209" t="n"/>
      <c r="F18" s="219" t="n"/>
      <c r="G18" s="219" t="n"/>
      <c r="H18" s="219" t="n"/>
      <c r="I18" s="219" t="n"/>
      <c r="J18" s="219" t="n"/>
    </row>
    <row r="19" ht="12.75" customHeight="1" s="240">
      <c r="B19" s="59" t="inlineStr">
        <is>
          <t>Software revenue % growth</t>
        </is>
      </c>
      <c r="C19" s="236" t="n"/>
      <c r="D19" s="236">
        <f>D4/C4-1</f>
        <v/>
      </c>
      <c r="E19" s="61">
        <f>E4/D4-1</f>
        <v/>
      </c>
      <c r="F19" s="225" t="n">
        <v>0.12</v>
      </c>
      <c r="G19" s="213" t="n">
        <v>0.11</v>
      </c>
      <c r="H19" s="213" t="n">
        <v>0.1</v>
      </c>
      <c r="I19" s="213" t="n">
        <v>0.09</v>
      </c>
      <c r="J19" s="213" t="n">
        <v>0.08</v>
      </c>
    </row>
    <row r="20" ht="12.75" customHeight="1" s="240">
      <c r="B20" s="59" t="inlineStr">
        <is>
          <t>Microtransit &amp; paratransit % growth</t>
        </is>
      </c>
      <c r="C20" s="236" t="n"/>
      <c r="D20" s="236">
        <f>D6/C6-1</f>
        <v/>
      </c>
      <c r="E20" s="61">
        <f>E6/D6-1</f>
        <v/>
      </c>
      <c r="F20" s="225" t="n">
        <v>0.25</v>
      </c>
      <c r="G20" s="213" t="n">
        <v>0.16</v>
      </c>
      <c r="H20" s="213" t="n">
        <v>0.12</v>
      </c>
      <c r="I20" s="213" t="n">
        <v>0.1</v>
      </c>
      <c r="J20" s="213" t="n">
        <v>0.08</v>
      </c>
    </row>
    <row r="21" ht="12.75" customFormat="1" customHeight="1" s="24">
      <c r="B21" s="59" t="inlineStr">
        <is>
          <t>Network: new contract value launched ($mm)</t>
        </is>
      </c>
      <c r="C21" s="258" t="n"/>
      <c r="D21" s="258">
        <f>D22-C22</f>
        <v/>
      </c>
      <c r="E21" s="259">
        <f>E22-D22</f>
        <v/>
      </c>
      <c r="F21" s="260" t="n">
        <v>20</v>
      </c>
      <c r="G21" s="261" t="n">
        <v>40</v>
      </c>
      <c r="H21" s="261" t="n">
        <v>60</v>
      </c>
      <c r="I21" s="261" t="n">
        <v>70</v>
      </c>
      <c r="J21" s="261" t="n">
        <v>80</v>
      </c>
    </row>
    <row r="22" ht="12.75" customHeight="1" s="240">
      <c r="A22" s="24" t="n"/>
      <c r="B22" t="inlineStr">
        <is>
          <t>Network: contract run-rate, year-end ($mm)</t>
        </is>
      </c>
      <c r="C22" s="262" t="n">
        <v>0</v>
      </c>
      <c r="D22" s="262" t="n">
        <v>11.1</v>
      </c>
      <c r="E22" s="263" t="n">
        <v>23.5</v>
      </c>
      <c r="F22" s="264">
        <f>E22+F21</f>
        <v/>
      </c>
      <c r="G22" s="265">
        <f>F22+G21</f>
        <v/>
      </c>
      <c r="H22" s="265">
        <f>G22+H21</f>
        <v/>
      </c>
      <c r="I22" s="265">
        <f>H22+I21</f>
        <v/>
      </c>
      <c r="J22" s="265">
        <f>I22+J21</f>
        <v/>
      </c>
    </row>
    <row r="23" ht="12.75" customHeight="1" s="240">
      <c r="A23" s="24" t="n"/>
      <c r="B23" s="59" t="inlineStr">
        <is>
          <t>One-time revenue % of total</t>
        </is>
      </c>
      <c r="C23" s="239" t="n">
        <v>0.03</v>
      </c>
      <c r="D23" s="239" t="n">
        <v>0.03</v>
      </c>
      <c r="E23" s="9" t="n">
        <v>0.03</v>
      </c>
      <c r="F23" s="225" t="n">
        <v>0.03</v>
      </c>
      <c r="G23" s="213" t="n">
        <v>0.03</v>
      </c>
      <c r="H23" s="213" t="n">
        <v>0.03</v>
      </c>
      <c r="I23" s="213" t="n">
        <v>0.03</v>
      </c>
      <c r="J23" s="213" t="n">
        <v>0.03</v>
      </c>
    </row>
    <row r="24" ht="12.75" customHeight="1" s="240">
      <c r="E24" s="13" t="n"/>
    </row>
    <row r="25" ht="12.75" customHeight="1" s="240">
      <c r="B25" s="58" t="inlineStr">
        <is>
          <t>GROSS MARGIN BY STREAM</t>
        </is>
      </c>
      <c r="C25" s="216" t="n"/>
      <c r="D25" s="216" t="n"/>
      <c r="E25" s="57" t="n"/>
      <c r="F25" s="217" t="n"/>
      <c r="G25" s="217" t="n"/>
      <c r="H25" s="217" t="n"/>
      <c r="I25" s="217" t="n"/>
      <c r="J25" s="217" t="n"/>
    </row>
    <row r="26" ht="12.75" customFormat="1" customHeight="1" s="24">
      <c r="B26" s="59" t="inlineStr">
        <is>
          <t>Software</t>
        </is>
      </c>
      <c r="C26" s="236" t="n"/>
      <c r="D26" s="236" t="n"/>
      <c r="E26" s="61" t="n"/>
      <c r="F26" s="225" t="n">
        <v>0.75</v>
      </c>
      <c r="G26" s="213" t="n">
        <v>0.75</v>
      </c>
      <c r="H26" s="213" t="n">
        <v>0.75</v>
      </c>
      <c r="I26" s="213" t="n">
        <v>0.75</v>
      </c>
      <c r="J26" s="213" t="n">
        <v>0.75</v>
      </c>
    </row>
    <row r="27" ht="12.75" customHeight="1" s="240">
      <c r="A27" s="24" t="n"/>
      <c r="B27" s="59" t="inlineStr">
        <is>
          <t>Microtransit &amp; paratransit</t>
        </is>
      </c>
      <c r="C27" s="236" t="n"/>
      <c r="D27" s="236" t="n"/>
      <c r="E27" s="61" t="n"/>
      <c r="F27" s="225" t="n">
        <v>0.293</v>
      </c>
      <c r="G27" s="213" t="n">
        <v>0.293</v>
      </c>
      <c r="H27" s="213" t="n">
        <v>0.293</v>
      </c>
      <c r="I27" s="213" t="n">
        <v>0.293</v>
      </c>
      <c r="J27" s="213" t="n">
        <v>0.293</v>
      </c>
    </row>
    <row r="28" ht="12.75" customFormat="1" customHeight="1" s="24">
      <c r="B28" s="59" t="inlineStr">
        <is>
          <t>Network deals</t>
        </is>
      </c>
      <c r="C28" s="236" t="n"/>
      <c r="D28" s="236" t="n"/>
      <c r="E28" s="61" t="n"/>
      <c r="F28" s="225" t="n">
        <v>0.25</v>
      </c>
      <c r="G28" s="213" t="n">
        <v>0.25</v>
      </c>
      <c r="H28" s="213" t="n">
        <v>0.25</v>
      </c>
      <c r="I28" s="213" t="n">
        <v>0.25</v>
      </c>
      <c r="J28" s="213" t="n">
        <v>0.25</v>
      </c>
    </row>
    <row r="29" ht="12.75" customFormat="1" customHeight="1" s="24">
      <c r="B29" s="59" t="inlineStr">
        <is>
          <t>One-time</t>
        </is>
      </c>
      <c r="C29" s="236" t="n"/>
      <c r="D29" s="236" t="n"/>
      <c r="E29" s="61" t="n"/>
      <c r="F29" s="225" t="n">
        <v>0.75</v>
      </c>
      <c r="G29" s="213" t="n">
        <v>0.75</v>
      </c>
      <c r="H29" s="213" t="n">
        <v>0.75</v>
      </c>
      <c r="I29" s="213" t="n">
        <v>0.75</v>
      </c>
      <c r="J29" s="213" t="n">
        <v>0.75</v>
      </c>
    </row>
    <row r="30" ht="12.75" customHeight="1" s="240">
      <c r="B30" s="21" t="inlineStr">
        <is>
          <t>Gross profit ($mm)</t>
        </is>
      </c>
      <c r="C30" s="220">
        <f>'Annual IS'!B10</f>
        <v/>
      </c>
      <c r="D30" s="220">
        <f>'Annual IS'!C10</f>
        <v/>
      </c>
      <c r="E30" s="173">
        <f>'Annual IS'!D10</f>
        <v/>
      </c>
      <c r="F30" s="221">
        <f>F4*F26+F6*F27+F7*F28+F8*F29</f>
        <v/>
      </c>
      <c r="G30" s="221">
        <f>G4*G26+G6*G27+G7*G28+G8*G29</f>
        <v/>
      </c>
      <c r="H30" s="221">
        <f>H4*H26+H6*H27+H7*H28+H8*H29</f>
        <v/>
      </c>
      <c r="I30" s="221">
        <f>I4*I26+I6*I27+I7*I28+I8*I29</f>
        <v/>
      </c>
      <c r="J30" s="221">
        <f>J4*J26+J6*J27+J7*J28+J8*J29</f>
        <v/>
      </c>
    </row>
    <row r="31" ht="12.75" customHeight="1" s="240">
      <c r="B31" s="174" t="inlineStr">
        <is>
          <t xml:space="preserve">   Gross margin</t>
        </is>
      </c>
      <c r="C31" s="175">
        <f>C30/C9</f>
        <v/>
      </c>
      <c r="D31" s="52">
        <f>D30/D9</f>
        <v/>
      </c>
      <c r="E31" s="53">
        <f>E30/E9</f>
        <v/>
      </c>
      <c r="F31" s="222">
        <f>F30/F9</f>
        <v/>
      </c>
      <c r="G31" s="52">
        <f>G30/G9</f>
        <v/>
      </c>
      <c r="H31" s="52">
        <f>H30/H9</f>
        <v/>
      </c>
      <c r="I31" s="52">
        <f>I30/I9</f>
        <v/>
      </c>
      <c r="J31" s="52">
        <f>J30/J9</f>
        <v/>
      </c>
    </row>
    <row r="32" ht="12.75" customHeight="1" s="240">
      <c r="A32" s="24" t="n"/>
      <c r="B32" s="179" t="inlineStr">
        <is>
          <t xml:space="preserve">   Consensus gross margin</t>
        </is>
      </c>
      <c r="C32" s="223">
        <f>C31</f>
        <v/>
      </c>
      <c r="D32" s="223">
        <f>D31</f>
        <v/>
      </c>
      <c r="E32" s="55">
        <f>E31</f>
        <v/>
      </c>
      <c r="F32" s="224">
        <f>'Consensus (BBG)'!P23</f>
        <v/>
      </c>
      <c r="G32" s="182">
        <f>'Consensus (BBG)'!Q23</f>
        <v/>
      </c>
      <c r="H32" s="182">
        <f>'Key Stats'!H20</f>
        <v/>
      </c>
      <c r="I32" s="56" t="n"/>
      <c r="J32" s="56" t="n"/>
    </row>
    <row r="33" ht="12.75" customFormat="1" customHeight="1" s="24"/>
    <row r="34" ht="12.75" customHeight="1" s="240">
      <c r="B34" s="197" t="n"/>
    </row>
    <row r="35" ht="12.75" customHeight="1" s="240">
      <c r="B35" s="197" t="n"/>
    </row>
    <row r="36" ht="12.75" customHeight="1" s="240">
      <c r="B36" s="197" t="n"/>
    </row>
    <row r="37" ht="12.75" customHeight="1" s="240">
      <c r="B37" s="197" t="n"/>
    </row>
    <row r="38" ht="12.75" customHeight="1" s="240"/>
    <row r="39" ht="12.75" customHeight="1" s="240"/>
    <row r="40" ht="12.75" customHeight="1" s="240"/>
    <row r="41" ht="12.75" customHeight="1" s="240"/>
    <row r="42" ht="12.75" customHeight="1" s="240"/>
    <row r="45" ht="12.75" customHeight="1" s="240"/>
    <row r="46" ht="12.75" customHeight="1" s="240"/>
    <row r="47" ht="12.75" customHeight="1" s="240"/>
    <row r="48" ht="12.75" customHeight="1" s="240"/>
    <row r="49" ht="12.75" customHeight="1" s="240"/>
    <row r="50" ht="12.75" customHeight="1" s="240"/>
    <row r="51" ht="12.75" customHeight="1" s="240"/>
    <row r="53" ht="27.75" customHeight="1" s="240"/>
    <row r="54" ht="27.75" customHeight="1" s="240"/>
    <row r="55" ht="27.75" customHeight="1" s="240"/>
    <row r="56" ht="27.75" customHeight="1" s="240"/>
    <row r="57" ht="27.75" customHeight="1" s="240"/>
    <row r="58" ht="27.75" customHeight="1" s="240"/>
    <row r="60" ht="25.5" customHeight="1" s="240"/>
    <row r="62" ht="39.75" customHeight="1" s="240"/>
  </sheetData>
  <mergeCells count="6">
    <mergeCell ref="C2:E2"/>
    <mergeCell ref="B34:J34"/>
    <mergeCell ref="B37:J37"/>
    <mergeCell ref="B36:J36"/>
    <mergeCell ref="B35:J35"/>
    <mergeCell ref="F2:J2"/>
  </mergeCell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H27"/>
  <sheetViews>
    <sheetView showGridLines="0" zoomScale="131" zoomScaleNormal="131" workbookViewId="0">
      <selection activeCell="E11" sqref="E11"/>
    </sheetView>
  </sheetViews>
  <sheetFormatPr baseColWidth="10" defaultColWidth="8.83203125" defaultRowHeight="13"/>
  <cols>
    <col width="27.5" customWidth="1" style="240" min="2" max="2"/>
    <col width="10.1640625" customWidth="1" style="240" min="3" max="3"/>
    <col width="4.83203125" customWidth="1" style="240" min="4" max="4"/>
    <col width="29.5" customWidth="1" style="240" min="5" max="5"/>
    <col width="10.6640625" customWidth="1" style="240" min="6" max="8"/>
  </cols>
  <sheetData>
    <row r="2" ht="12.75" customHeight="1" s="240">
      <c r="B2" s="200" t="inlineStr">
        <is>
          <t>WACC Calculations</t>
        </is>
      </c>
      <c r="C2" s="257" t="n"/>
    </row>
    <row r="3" ht="12.75" customHeight="1" s="240">
      <c r="B3" s="11" t="inlineStr">
        <is>
          <t>Debt</t>
        </is>
      </c>
      <c r="C3" s="131" t="inlineStr">
        <is>
          <t>/</t>
        </is>
      </c>
    </row>
    <row r="4" ht="12.75" customHeight="1" s="240">
      <c r="B4" s="11" t="inlineStr">
        <is>
          <t>Equity</t>
        </is>
      </c>
      <c r="C4" s="202">
        <f>C17</f>
        <v/>
      </c>
    </row>
    <row r="5" ht="12.75" customHeight="1" s="240">
      <c r="B5" s="65" t="inlineStr">
        <is>
          <t>% Debt</t>
        </is>
      </c>
      <c r="C5" s="66" t="n">
        <v>0</v>
      </c>
    </row>
    <row r="6" ht="12.75" customHeight="1" s="240">
      <c r="B6" s="65" t="inlineStr">
        <is>
          <t>% Equity</t>
        </is>
      </c>
      <c r="C6" s="66" t="n">
        <v>1</v>
      </c>
      <c r="E6" s="59" t="n"/>
    </row>
    <row r="7" ht="12.75" customHeight="1" s="240">
      <c r="B7" s="11" t="inlineStr">
        <is>
          <t>Cost of Debt</t>
        </is>
      </c>
      <c r="C7" s="130" t="inlineStr">
        <is>
          <t>/</t>
        </is>
      </c>
      <c r="E7" s="67" t="n"/>
      <c r="F7" s="68" t="n"/>
      <c r="G7" s="68" t="n"/>
      <c r="H7" s="68" t="n"/>
    </row>
    <row r="8" ht="12.75" customHeight="1" s="240">
      <c r="B8" s="11" t="inlineStr">
        <is>
          <t>After-Tax Cost of Debt</t>
        </is>
      </c>
      <c r="C8" s="130" t="inlineStr">
        <is>
          <t>/</t>
        </is>
      </c>
      <c r="E8" s="59" t="n"/>
      <c r="G8" s="64" t="n"/>
    </row>
    <row r="9" ht="12.75" customHeight="1" s="240">
      <c r="B9" s="11" t="inlineStr">
        <is>
          <t>Cost of Equity</t>
        </is>
      </c>
      <c r="C9" s="66">
        <f>C10+(C11*C12)</f>
        <v/>
      </c>
      <c r="E9" s="59" t="n"/>
      <c r="G9" s="64" t="n"/>
    </row>
    <row r="10" ht="12.75" customHeight="1" s="240">
      <c r="B10" s="11" t="inlineStr">
        <is>
          <t>US 10Y Treasury Yield</t>
        </is>
      </c>
      <c r="C10" s="69" t="n">
        <v>0.0483</v>
      </c>
      <c r="E10" s="59" t="n"/>
      <c r="G10" s="64" t="n"/>
    </row>
    <row r="11" ht="12.75" customHeight="1" s="240">
      <c r="B11" s="11" t="inlineStr">
        <is>
          <t>Beta</t>
        </is>
      </c>
      <c r="C11" s="13" t="n">
        <v>1.03</v>
      </c>
    </row>
    <row r="12" ht="12.75" customHeight="1" s="240">
      <c r="B12" s="18" t="inlineStr">
        <is>
          <t>Market Risk Premium</t>
        </is>
      </c>
      <c r="C12" s="63" t="n">
        <v>0.0446</v>
      </c>
    </row>
    <row r="13" ht="12.75" customHeight="1" s="240">
      <c r="B13" s="70" t="inlineStr">
        <is>
          <t>WACC</t>
        </is>
      </c>
      <c r="C13" s="71">
        <f>C9</f>
        <v/>
      </c>
    </row>
    <row r="15" ht="12.75" customHeight="1" s="240">
      <c r="B15" s="72" t="inlineStr">
        <is>
          <t>Share Price ($)</t>
        </is>
      </c>
      <c r="C15" s="184" t="n">
        <v>29.98</v>
      </c>
    </row>
    <row r="16" ht="12.75" customHeight="1" s="240">
      <c r="B16" s="11" t="inlineStr">
        <is>
          <t>Shares Oustanding (mm)</t>
        </is>
      </c>
      <c r="C16" s="185">
        <f>'Key Stats'!B51</f>
        <v/>
      </c>
    </row>
    <row r="17" ht="12.75" customHeight="1" s="240">
      <c r="B17" s="18" t="inlineStr">
        <is>
          <t>Market Cap (mm)</t>
        </is>
      </c>
      <c r="C17" s="266">
        <f>C15*C16</f>
        <v/>
      </c>
    </row>
    <row r="18" ht="12.75" customHeight="1" s="240"/>
    <row r="19" ht="12.75" customHeight="1" s="240">
      <c r="C19" t="inlineStr"/>
    </row>
    <row r="20">
      <c r="B20" s="200" t="inlineStr">
        <is>
          <t>Diluted Shares</t>
        </is>
      </c>
      <c r="C20" s="257" t="n"/>
    </row>
    <row r="21">
      <c r="B21" s="11" t="inlineStr">
        <is>
          <t>Basic shares outstanding (mm)</t>
        </is>
      </c>
      <c r="C21" s="186">
        <f>C16</f>
        <v/>
      </c>
    </row>
    <row r="22">
      <c r="B22" s="11" t="inlineStr">
        <is>
          <t>Options outstanding (mm)</t>
        </is>
      </c>
      <c r="C22" s="187" t="n">
        <v>8.901695</v>
      </c>
    </row>
    <row r="23">
      <c r="B23" s="11" t="inlineStr">
        <is>
          <t>Weighted-avg. exercise price ($)</t>
        </is>
      </c>
      <c r="C23" s="267" t="n">
        <v>13.94</v>
      </c>
    </row>
    <row r="24">
      <c r="B24" s="11" t="inlineStr">
        <is>
          <t>Net shares from options (mm)</t>
        </is>
      </c>
      <c r="C24" s="186">
        <f>C22*MAX(0,1-C23/C15)</f>
        <v/>
      </c>
    </row>
    <row r="25">
      <c r="B25" s="11" t="inlineStr">
        <is>
          <t>Unvested RSUs (mm)</t>
        </is>
      </c>
      <c r="C25" s="187" t="n">
        <v>3.750862</v>
      </c>
    </row>
    <row r="26">
      <c r="B26" s="11" t="inlineStr">
        <is>
          <t>PSUs</t>
        </is>
      </c>
      <c r="C26" s="187" t="n">
        <v>0</v>
      </c>
    </row>
    <row r="27">
      <c r="B27" s="70" t="inlineStr">
        <is>
          <t>Diluted Shares Outstanding (mm)</t>
        </is>
      </c>
      <c r="C27" s="268">
        <f>C21+C24+C25+C26</f>
        <v/>
      </c>
    </row>
  </sheetData>
  <mergeCells count="2">
    <mergeCell ref="B2:C2"/>
    <mergeCell ref="B20:C20"/>
  </mergeCell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1"/>
  <sheetViews>
    <sheetView showGridLines="0" tabSelected="1" zoomScaleNormal="100" workbookViewId="0">
      <selection activeCell="F30" sqref="F30"/>
    </sheetView>
  </sheetViews>
  <sheetFormatPr baseColWidth="10" defaultColWidth="8.83203125" defaultRowHeight="13"/>
  <sheetData/>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sheetPr>
    <outlinePr summaryBelow="1" summaryRight="1"/>
    <pageSetUpPr/>
  </sheetPr>
  <dimension ref="A1:Q128"/>
  <sheetViews>
    <sheetView workbookViewId="0">
      <selection activeCell="A1" sqref="A1"/>
    </sheetView>
  </sheetViews>
  <sheetFormatPr baseColWidth="10" defaultColWidth="8.83203125" defaultRowHeight="13"/>
  <cols>
    <col width="34" customWidth="1" style="240" min="1" max="1"/>
  </cols>
  <sheetData>
    <row r="1">
      <c r="A1" s="190" t="inlineStr">
        <is>
          <t>Via Transportation Inc- Company Financial (Multiple Periods)</t>
        </is>
      </c>
      <c r="P1" s="197" t="inlineStr">
        <is>
          <t>Source: Bloomberg consensus (VIA US Equity), quarterly. FY columns sum the four quarters (FY26 includes Q1-Q2 2026 actuals).</t>
        </is>
      </c>
    </row>
    <row r="2">
      <c r="A2" s="191" t="inlineStr">
        <is>
          <t>VIA US Equity    Periodicity:Q    Currency:USD    Estimate Source:BST    Actual Source:Bloomberg</t>
        </is>
      </c>
    </row>
    <row r="3">
      <c r="A3" s="190" t="inlineStr">
        <is>
          <t>In Millions of USD</t>
        </is>
      </c>
      <c r="E3" s="190" t="inlineStr">
        <is>
          <t>2025 Q3 (Rep)</t>
        </is>
      </c>
      <c r="F3" s="190" t="inlineStr">
        <is>
          <t>2025 Q4 (Rep)</t>
        </is>
      </c>
      <c r="G3" s="190" t="inlineStr">
        <is>
          <t>2026 Q1 (Rep)</t>
        </is>
      </c>
      <c r="H3" s="190" t="inlineStr">
        <is>
          <t>2026 Q2 (Rep)</t>
        </is>
      </c>
      <c r="I3" s="190" t="inlineStr">
        <is>
          <t>2026 Q3 (Fwd)</t>
        </is>
      </c>
      <c r="J3" s="190" t="inlineStr">
        <is>
          <t>2026 Q4 (Fwd)</t>
        </is>
      </c>
      <c r="K3" s="190" t="inlineStr">
        <is>
          <t>2027 Q1 (Fwd)</t>
        </is>
      </c>
      <c r="L3" s="190" t="inlineStr">
        <is>
          <t>2027 Q2 (Fwd)</t>
        </is>
      </c>
      <c r="M3" s="190" t="inlineStr">
        <is>
          <t>2027 Q3 (Fwd)</t>
        </is>
      </c>
      <c r="N3" s="190" t="inlineStr">
        <is>
          <t>2027 Q4 (Fwd)</t>
        </is>
      </c>
      <c r="P3" s="190" t="inlineStr">
        <is>
          <t>FY2026E</t>
        </is>
      </c>
      <c r="Q3" s="190" t="inlineStr">
        <is>
          <t>FY2027E</t>
        </is>
      </c>
    </row>
    <row r="4">
      <c r="A4" s="190" t="inlineStr">
        <is>
          <t>3 Months Ending</t>
        </is>
      </c>
      <c r="B4" s="190" t="inlineStr">
        <is>
          <t>Field Expression</t>
        </is>
      </c>
      <c r="C4" s="190" t="inlineStr">
        <is>
          <t>Calcrt Field</t>
        </is>
      </c>
      <c r="D4" s="190" t="inlineStr">
        <is>
          <t>Segment Id</t>
        </is>
      </c>
      <c r="E4" s="192" t="n">
        <v>45930</v>
      </c>
      <c r="F4" s="192" t="n">
        <v>46022</v>
      </c>
      <c r="G4" s="192" t="n">
        <v>46112</v>
      </c>
      <c r="H4" s="192" t="n">
        <v>46203</v>
      </c>
      <c r="I4" s="192" t="n">
        <v>46295</v>
      </c>
      <c r="J4" s="192" t="n">
        <v>46387</v>
      </c>
      <c r="K4" s="192" t="n">
        <v>46477</v>
      </c>
      <c r="L4" s="192" t="n">
        <v>46568</v>
      </c>
      <c r="M4" s="192" t="n">
        <v>46660</v>
      </c>
      <c r="N4" s="192" t="n">
        <v>46752</v>
      </c>
      <c r="P4" s="190" t="inlineStr">
        <is>
          <t>Sum of Q1-Q4</t>
        </is>
      </c>
      <c r="Q4" s="190" t="inlineStr">
        <is>
          <t>Sum of Q1-Q4</t>
        </is>
      </c>
    </row>
    <row r="5">
      <c r="A5" s="191" t="inlineStr">
        <is>
          <t xml:space="preserve">  Highlights</t>
        </is>
      </c>
    </row>
    <row r="6">
      <c r="A6" s="191" t="inlineStr">
        <is>
          <t xml:space="preserve">  Adjusted Diluted EPS</t>
        </is>
      </c>
      <c r="B6" s="191" t="inlineStr">
        <is>
          <t>IS_COMP_EPS_ADJUSTED_OLD</t>
        </is>
      </c>
      <c r="C6" s="191" t="inlineStr">
        <is>
          <t>IS900</t>
        </is>
      </c>
      <c r="E6" s="193" t="n">
        <v>-0.127926</v>
      </c>
      <c r="F6" s="193" t="n">
        <v>-0.05921</v>
      </c>
      <c r="G6" s="193" t="n">
        <v>-0.05</v>
      </c>
      <c r="H6" s="193" t="n">
        <v>-0.010282</v>
      </c>
      <c r="I6" s="193" t="n">
        <v>-0.0272</v>
      </c>
      <c r="J6" s="193" t="n">
        <v>0.0473</v>
      </c>
      <c r="K6" s="193" t="n">
        <v>0.0558</v>
      </c>
      <c r="L6" s="193" t="n">
        <v>0.09709999999999999</v>
      </c>
      <c r="M6" s="193" t="n">
        <v>0.1083</v>
      </c>
      <c r="N6" s="193" t="n">
        <v>0.1539</v>
      </c>
    </row>
    <row r="7">
      <c r="A7" s="191" t="inlineStr">
        <is>
          <t xml:space="preserve">  Revenue</t>
        </is>
      </c>
      <c r="B7" s="191" t="inlineStr">
        <is>
          <t>IS_COMP_SALES</t>
        </is>
      </c>
      <c r="C7" s="191" t="inlineStr">
        <is>
          <t>IS902</t>
        </is>
      </c>
      <c r="E7" s="193" t="n">
        <v>109.653</v>
      </c>
      <c r="F7" s="193" t="n">
        <v>118.909</v>
      </c>
      <c r="G7" s="193" t="n">
        <v>127.434</v>
      </c>
      <c r="H7" s="193" t="n">
        <v>135.707</v>
      </c>
      <c r="I7" s="193" t="n">
        <v>138</v>
      </c>
      <c r="J7" s="193" t="n">
        <v>150.5555555555555</v>
      </c>
      <c r="K7" s="193" t="n">
        <v>156.6666666666667</v>
      </c>
      <c r="L7" s="193" t="n">
        <v>167.4444444444445</v>
      </c>
      <c r="M7" s="193" t="n">
        <v>169.1111111111111</v>
      </c>
      <c r="N7" s="193" t="n">
        <v>181.5555555555555</v>
      </c>
      <c r="P7" s="269">
        <f>SUM(G7:J7)</f>
        <v/>
      </c>
      <c r="Q7" s="269">
        <f>SUM(K7:N7)</f>
        <v/>
      </c>
    </row>
    <row r="8">
      <c r="A8" s="191" t="inlineStr"/>
    </row>
    <row r="9">
      <c r="A9" s="191" t="inlineStr">
        <is>
          <t xml:space="preserve">  Operating Income</t>
        </is>
      </c>
      <c r="B9" s="191" t="inlineStr">
        <is>
          <t>IS_COMPARABLE_EBIT</t>
        </is>
      </c>
      <c r="C9" s="191" t="inlineStr">
        <is>
          <t>IM132</t>
        </is>
      </c>
      <c r="E9" s="193" t="n">
        <v>-18.891</v>
      </c>
      <c r="F9" s="193" t="n">
        <v>-24.391</v>
      </c>
      <c r="G9" s="193" t="n">
        <v>-23.584</v>
      </c>
      <c r="H9" s="193" t="n">
        <v>-21.754</v>
      </c>
      <c r="I9" s="193" t="n">
        <v>-21.525</v>
      </c>
      <c r="J9" s="193" t="n">
        <v>-15.75</v>
      </c>
      <c r="K9" s="193" t="n">
        <v>-14.66125</v>
      </c>
      <c r="L9" s="193" t="n">
        <v>-11.1575</v>
      </c>
      <c r="M9" s="193" t="n">
        <v>-10.58375</v>
      </c>
      <c r="N9" s="193" t="n">
        <v>-7.3075</v>
      </c>
    </row>
    <row r="10">
      <c r="A10" s="191" t="inlineStr">
        <is>
          <t xml:space="preserve">  Adjusted EBITDA</t>
        </is>
      </c>
      <c r="B10" s="191" t="inlineStr">
        <is>
          <t>IS_COMPARABLE_EBITDA</t>
        </is>
      </c>
      <c r="C10" s="191" t="inlineStr">
        <is>
          <t>IM131</t>
        </is>
      </c>
      <c r="E10" s="193" t="n">
        <v>-8.692</v>
      </c>
      <c r="F10" s="193" t="n">
        <v>-7.384</v>
      </c>
      <c r="G10" s="193" t="n">
        <v>-5.809</v>
      </c>
      <c r="H10" s="193" t="n">
        <v>-0.003441</v>
      </c>
      <c r="I10" s="193" t="n">
        <v>-4.032222222222222</v>
      </c>
      <c r="J10" s="193" t="n">
        <v>2.409777777777778</v>
      </c>
      <c r="K10" s="193" t="n">
        <v>3.415444444444444</v>
      </c>
      <c r="L10" s="193" t="n">
        <v>6.981111111111111</v>
      </c>
      <c r="M10" s="193" t="n">
        <v>7.79</v>
      </c>
      <c r="N10" s="193" t="n">
        <v>11.25666666666667</v>
      </c>
      <c r="P10" s="269">
        <f>SUM(G10:J10)</f>
        <v/>
      </c>
      <c r="Q10" s="269">
        <f>SUM(K10:N10)</f>
        <v/>
      </c>
    </row>
    <row r="11">
      <c r="A11" s="191" t="inlineStr">
        <is>
          <t xml:space="preserve">  Adjusted Net Income</t>
        </is>
      </c>
      <c r="B11" s="191" t="inlineStr">
        <is>
          <t>IS_COMP_NET_INCOME_ADJUST_OLD</t>
        </is>
      </c>
      <c r="C11" s="191" t="inlineStr">
        <is>
          <t>IS903</t>
        </is>
      </c>
      <c r="E11" s="193" t="n">
        <v>-9.683999999999999</v>
      </c>
      <c r="F11" s="193" t="n">
        <v>-4.796</v>
      </c>
      <c r="G11" s="193" t="n">
        <v>-3.771</v>
      </c>
      <c r="H11" s="193" t="n">
        <v>-0.838</v>
      </c>
      <c r="I11" s="193" t="n">
        <v>-4.111111111111111</v>
      </c>
      <c r="J11" s="193" t="n">
        <v>2.188888888888889</v>
      </c>
      <c r="K11" s="193" t="n">
        <v>3.264333333333334</v>
      </c>
      <c r="L11" s="193" t="n">
        <v>7.123333333333333</v>
      </c>
      <c r="M11" s="193" t="n">
        <v>7.964444444444444</v>
      </c>
      <c r="N11" s="193" t="n">
        <v>11.42555555555555</v>
      </c>
    </row>
    <row r="12">
      <c r="A12" s="191" t="inlineStr"/>
    </row>
    <row r="13">
      <c r="A13" s="191" t="inlineStr">
        <is>
          <t xml:space="preserve">  Business Breakdown</t>
        </is>
      </c>
    </row>
    <row r="14">
      <c r="A14" s="191" t="inlineStr">
        <is>
          <t xml:space="preserve">  Customer Count</t>
        </is>
      </c>
      <c r="B14" s="191" t="inlineStr">
        <is>
          <t>NUMBER_OF_CUSTOMERS</t>
        </is>
      </c>
      <c r="C14" s="191" t="inlineStr">
        <is>
          <t>M6307</t>
        </is>
      </c>
      <c r="D14" s="191" t="inlineStr">
        <is>
          <t>SEG6561238188 Segment</t>
        </is>
      </c>
      <c r="E14" s="191" t="n"/>
      <c r="F14" s="191" t="n"/>
      <c r="G14" s="193" t="n">
        <v>0.838</v>
      </c>
      <c r="H14" s="193" t="n">
        <v>0.847</v>
      </c>
      <c r="I14" s="193" t="n">
        <v>0.862</v>
      </c>
      <c r="J14" s="193" t="n">
        <v>0.888</v>
      </c>
      <c r="K14" s="193" t="n">
        <v>0.909</v>
      </c>
      <c r="L14" s="193" t="n">
        <v>0.923</v>
      </c>
      <c r="M14" s="193" t="n">
        <v>0.9399999999999999</v>
      </c>
      <c r="N14" s="193" t="n">
        <v>0.962</v>
      </c>
    </row>
    <row r="15">
      <c r="A15" s="191" t="inlineStr"/>
    </row>
    <row r="16">
      <c r="A16" s="191" t="inlineStr">
        <is>
          <t xml:space="preserve">  Platform Annual Run-Rate Revenue</t>
        </is>
      </c>
      <c r="B16" s="191" t="inlineStr">
        <is>
          <t>SALES_REV_TURN</t>
        </is>
      </c>
      <c r="C16" s="191" t="inlineStr">
        <is>
          <t>IS010</t>
        </is>
      </c>
      <c r="D16" s="191" t="inlineStr">
        <is>
          <t>SEG9057071857 Segment</t>
        </is>
      </c>
      <c r="E16" s="193" t="n">
        <v>109.653</v>
      </c>
      <c r="F16" s="191" t="n"/>
      <c r="G16" s="193" t="n">
        <v>509.736</v>
      </c>
      <c r="H16" s="193" t="n">
        <v>542.828</v>
      </c>
      <c r="I16" s="191" t="n"/>
      <c r="J16" s="191" t="n"/>
      <c r="K16" s="191" t="n"/>
      <c r="L16" s="191" t="n"/>
      <c r="M16" s="191" t="n"/>
      <c r="N16" s="191" t="n"/>
    </row>
    <row r="17">
      <c r="A17" s="191" t="inlineStr"/>
    </row>
    <row r="18">
      <c r="A18" s="191" t="inlineStr">
        <is>
          <t xml:space="preserve">  Income Statement</t>
        </is>
      </c>
    </row>
    <row r="19">
      <c r="A19" s="191" t="inlineStr">
        <is>
          <t xml:space="preserve">  Total Revenue</t>
        </is>
      </c>
      <c r="B19" s="191" t="inlineStr">
        <is>
          <t>IS_COMP_SALES</t>
        </is>
      </c>
      <c r="C19" s="191" t="inlineStr">
        <is>
          <t>IS902</t>
        </is>
      </c>
      <c r="E19" s="193" t="n">
        <v>109.653</v>
      </c>
      <c r="F19" s="193" t="n">
        <v>118.909</v>
      </c>
      <c r="G19" s="193" t="n">
        <v>127.434</v>
      </c>
      <c r="H19" s="193" t="n">
        <v>135.707</v>
      </c>
      <c r="I19" s="193" t="n">
        <v>138</v>
      </c>
      <c r="J19" s="193" t="n">
        <v>150.5555555555555</v>
      </c>
      <c r="K19" s="193" t="n">
        <v>156.6666666666667</v>
      </c>
      <c r="L19" s="193" t="n">
        <v>167.4444444444445</v>
      </c>
      <c r="M19" s="193" t="n">
        <v>169.1111111111111</v>
      </c>
      <c r="N19" s="193" t="n">
        <v>181.5555555555555</v>
      </c>
    </row>
    <row r="20">
      <c r="A20" s="191" t="inlineStr"/>
    </row>
    <row r="21">
      <c r="A21" s="191" t="inlineStr">
        <is>
          <t xml:space="preserve">  Cost of Revenue</t>
        </is>
      </c>
      <c r="B21" s="191" t="inlineStr">
        <is>
          <t>IS_COGS_TO_FE_AND_PP_AND_G</t>
        </is>
      </c>
      <c r="C21" s="191" t="inlineStr">
        <is>
          <t>IS021</t>
        </is>
      </c>
      <c r="E21" s="193" t="n">
        <v>66.56699999999999</v>
      </c>
      <c r="F21" s="193" t="n">
        <v>71.956</v>
      </c>
      <c r="G21" s="193" t="n">
        <v>77.379</v>
      </c>
      <c r="H21" s="193" t="n">
        <v>80.101</v>
      </c>
      <c r="I21" s="193" t="n">
        <v>83.21166641257712</v>
      </c>
      <c r="J21" s="193" t="n">
        <v>90.35250467160776</v>
      </c>
      <c r="K21" s="193" t="n">
        <v>93.62476493708103</v>
      </c>
      <c r="L21" s="193" t="n">
        <v>99.29394354737347</v>
      </c>
      <c r="M21" s="193" t="n">
        <v>99.94815263740465</v>
      </c>
      <c r="N21" s="193" t="n">
        <v>106.5517782673968</v>
      </c>
    </row>
    <row r="22">
      <c r="A22" s="191" t="inlineStr">
        <is>
          <t xml:space="preserve">  Gross Profit</t>
        </is>
      </c>
      <c r="B22" s="191" t="inlineStr">
        <is>
          <t>CB_IS_GROSS_PROFIT</t>
        </is>
      </c>
      <c r="C22" s="191" t="inlineStr">
        <is>
          <t>IC399</t>
        </is>
      </c>
      <c r="E22" s="193" t="n">
        <v>43.086</v>
      </c>
      <c r="F22" s="193" t="n">
        <v>46.953</v>
      </c>
      <c r="G22" s="193" t="n">
        <v>50.055</v>
      </c>
      <c r="H22" s="193" t="n">
        <v>55.606</v>
      </c>
      <c r="I22" s="193" t="n">
        <v>54.72562078162029</v>
      </c>
      <c r="J22" s="193" t="n">
        <v>60.26599791992402</v>
      </c>
      <c r="K22" s="193" t="n">
        <v>63.13105693259907</v>
      </c>
      <c r="L22" s="193" t="n">
        <v>68.09707167071323</v>
      </c>
      <c r="M22" s="193" t="n">
        <v>69.14500678939217</v>
      </c>
      <c r="N22" s="193" t="n">
        <v>75.00596134938311</v>
      </c>
      <c r="P22" s="269">
        <f>SUM(G22:J22)</f>
        <v/>
      </c>
      <c r="Q22" s="269">
        <f>SUM(K22:N22)</f>
        <v/>
      </c>
    </row>
    <row r="23">
      <c r="A23" s="191" t="inlineStr">
        <is>
          <t xml:space="preserve">    Gross Margin (%)</t>
        </is>
      </c>
      <c r="B23" s="191" t="inlineStr">
        <is>
          <t>IS_COMP_GROSS_MARGIN_PERCENTAGE</t>
        </is>
      </c>
      <c r="C23" s="191" t="inlineStr">
        <is>
          <t>IM092</t>
        </is>
      </c>
      <c r="E23" s="193" t="n">
        <v>40</v>
      </c>
      <c r="F23" s="193" t="n">
        <v>39.86578</v>
      </c>
      <c r="G23" s="193" t="n">
        <v>40</v>
      </c>
      <c r="H23" s="193" t="n">
        <v>41</v>
      </c>
      <c r="I23" s="193" t="n">
        <v>39.8141258252468</v>
      </c>
      <c r="J23" s="193" t="n">
        <v>40.14482592029395</v>
      </c>
      <c r="K23" s="193" t="n">
        <v>40.37396476665661</v>
      </c>
      <c r="L23" s="193" t="n">
        <v>40.75063181199985</v>
      </c>
      <c r="M23" s="193" t="n">
        <v>40.96232436126005</v>
      </c>
      <c r="N23" s="193" t="n">
        <v>41.37826040224948</v>
      </c>
      <c r="P23" s="195">
        <f>P22/P7</f>
        <v/>
      </c>
      <c r="Q23" s="195">
        <f>Q22/Q7</f>
        <v/>
      </c>
    </row>
    <row r="24">
      <c r="A24" s="191" t="inlineStr"/>
    </row>
    <row r="25">
      <c r="A25" s="191" t="inlineStr">
        <is>
          <t xml:space="preserve">  Total Operating Expenses</t>
        </is>
      </c>
      <c r="B25" s="191" t="inlineStr">
        <is>
          <t>IS_OPERATING_EXPN</t>
        </is>
      </c>
      <c r="C25" s="191" t="inlineStr">
        <is>
          <t>IS032</t>
        </is>
      </c>
      <c r="E25" s="193" t="n">
        <v>61.977</v>
      </c>
      <c r="F25" s="193" t="n">
        <v>71.34399999999999</v>
      </c>
      <c r="G25" s="193" t="n">
        <v>73.639</v>
      </c>
      <c r="H25" s="193" t="n">
        <v>77.36</v>
      </c>
      <c r="I25" s="193" t="n">
        <v>75.87720840991039</v>
      </c>
      <c r="J25" s="193" t="n">
        <v>76.11387531491734</v>
      </c>
      <c r="K25" s="193" t="n">
        <v>76.70257310399212</v>
      </c>
      <c r="L25" s="193" t="n">
        <v>78.26794008613349</v>
      </c>
      <c r="M25" s="193" t="n">
        <v>78.31613571527075</v>
      </c>
      <c r="N25" s="193" t="n">
        <v>81.63910036941338</v>
      </c>
    </row>
    <row r="26">
      <c r="A26" s="191" t="inlineStr">
        <is>
          <t xml:space="preserve">    As % of Revenue</t>
        </is>
      </c>
      <c r="B26" s="191" t="inlineStr">
        <is>
          <t>OPERATING_EXPENSES_TO_NET_SALES</t>
        </is>
      </c>
      <c r="C26" s="191" t="inlineStr">
        <is>
          <t>RR280</t>
        </is>
      </c>
      <c r="E26" s="193" t="n">
        <v>56.52102541654127</v>
      </c>
      <c r="F26" s="193" t="n">
        <v>59.99882262906929</v>
      </c>
      <c r="G26" s="193" t="n">
        <v>57.78599117974795</v>
      </c>
      <c r="H26" s="193" t="n">
        <v>57.00516554046585</v>
      </c>
      <c r="I26" s="193" t="n">
        <v>54.6883928717671</v>
      </c>
      <c r="J26" s="193" t="n">
        <v>51.53550544345731</v>
      </c>
      <c r="K26" s="193" t="n">
        <v>51.09644664819598</v>
      </c>
      <c r="L26" s="193" t="n">
        <v>49.0240183333753</v>
      </c>
      <c r="M26" s="193" t="n">
        <v>48.38834650725078</v>
      </c>
      <c r="N26" s="193" t="n">
        <v>46.40261408199858</v>
      </c>
    </row>
    <row r="27">
      <c r="A27" s="191" t="inlineStr">
        <is>
          <t xml:space="preserve">    Research &amp; Development</t>
        </is>
      </c>
      <c r="B27" s="191" t="inlineStr">
        <is>
          <t>IS_OPEX_R_AND_D_GAAP</t>
        </is>
      </c>
      <c r="C27" s="191" t="inlineStr">
        <is>
          <t>IM441</t>
        </is>
      </c>
      <c r="E27" s="193" t="n">
        <v>23.131</v>
      </c>
      <c r="F27" s="193" t="n">
        <v>25.138</v>
      </c>
      <c r="G27" s="193" t="n">
        <v>24.528</v>
      </c>
      <c r="H27" s="193" t="n">
        <v>26.108</v>
      </c>
      <c r="I27" s="193" t="n">
        <v>25.94314176778758</v>
      </c>
      <c r="J27" s="193" t="n">
        <v>25.93669933356797</v>
      </c>
      <c r="K27" s="193" t="n">
        <v>26.17526273359644</v>
      </c>
      <c r="L27" s="193" t="n">
        <v>26.84302428105014</v>
      </c>
      <c r="M27" s="193" t="n">
        <v>26.85270080082142</v>
      </c>
      <c r="N27" s="193" t="n">
        <v>28.08187254583418</v>
      </c>
    </row>
    <row r="28">
      <c r="A28" s="191" t="inlineStr">
        <is>
          <t xml:space="preserve">      As % of Revenue</t>
        </is>
      </c>
      <c r="B28" s="191" t="inlineStr">
        <is>
          <t>RD_EXPEND_TO_NET_SALES</t>
        </is>
      </c>
      <c r="C28" s="191" t="inlineStr">
        <is>
          <t>RR295</t>
        </is>
      </c>
      <c r="E28" s="193" t="n">
        <v>21.09472609048544</v>
      </c>
      <c r="F28" s="193" t="n">
        <v>21.14053604016517</v>
      </c>
      <c r="G28" s="193" t="n">
        <v>19.24761052780263</v>
      </c>
      <c r="H28" s="193" t="n">
        <v>19.23850648824305</v>
      </c>
      <c r="I28" s="193" t="n">
        <v>18.90094608519017</v>
      </c>
      <c r="J28" s="193" t="n">
        <v>17.33726296182154</v>
      </c>
      <c r="K28" s="193" t="n">
        <v>17.02586734262423</v>
      </c>
      <c r="L28" s="193" t="n">
        <v>16.34275818276228</v>
      </c>
      <c r="M28" s="193" t="n">
        <v>16.14586159719238</v>
      </c>
      <c r="N28" s="193" t="n">
        <v>15.83996883307543</v>
      </c>
    </row>
    <row r="29">
      <c r="A29" s="191" t="inlineStr">
        <is>
          <t xml:space="preserve">    Sales &amp; Marketing</t>
        </is>
      </c>
      <c r="B29" s="191" t="inlineStr">
        <is>
          <t>CB_IS_S_AND_M_EXPENSE</t>
        </is>
      </c>
      <c r="C29" s="191" t="inlineStr">
        <is>
          <t>IM736</t>
        </is>
      </c>
      <c r="E29" s="193" t="n">
        <v>17.657</v>
      </c>
      <c r="F29" s="193" t="n">
        <v>18.591</v>
      </c>
      <c r="G29" s="193" t="n">
        <v>20.49</v>
      </c>
      <c r="H29" s="193" t="n">
        <v>21.142</v>
      </c>
      <c r="I29" s="193" t="n">
        <v>20.40597702932901</v>
      </c>
      <c r="J29" s="193" t="n">
        <v>20.3238015701806</v>
      </c>
      <c r="K29" s="193" t="n">
        <v>20.7887726586383</v>
      </c>
      <c r="L29" s="193" t="n">
        <v>21.59188434001659</v>
      </c>
      <c r="M29" s="193" t="n">
        <v>21.75026587089742</v>
      </c>
      <c r="N29" s="193" t="n">
        <v>22.48427987386844</v>
      </c>
    </row>
    <row r="30">
      <c r="A30" s="191" t="inlineStr">
        <is>
          <t xml:space="preserve">    General &amp; Administrative</t>
        </is>
      </c>
      <c r="B30" s="191" t="inlineStr">
        <is>
          <t>CB_IS_GENL_AND_ADMIN_EXPN</t>
        </is>
      </c>
      <c r="C30" s="191" t="inlineStr">
        <is>
          <t>IM737</t>
        </is>
      </c>
      <c r="E30" s="193" t="n">
        <v>21.189</v>
      </c>
      <c r="F30" s="193" t="n">
        <v>27.615</v>
      </c>
      <c r="G30" s="193" t="n">
        <v>28.621</v>
      </c>
      <c r="H30" s="193" t="n">
        <v>30.11</v>
      </c>
      <c r="I30" s="193" t="n">
        <v>29.17429239875218</v>
      </c>
      <c r="J30" s="193" t="n">
        <v>29.34842082677689</v>
      </c>
      <c r="K30" s="193" t="n">
        <v>29.31282147159812</v>
      </c>
      <c r="L30" s="193" t="n">
        <v>29.72199816880265</v>
      </c>
      <c r="M30" s="193" t="n">
        <v>29.74928452645996</v>
      </c>
      <c r="N30" s="193" t="n">
        <v>30.5597377964139</v>
      </c>
    </row>
    <row r="31">
      <c r="A31" s="191" t="inlineStr"/>
    </row>
    <row r="32">
      <c r="A32" s="191" t="inlineStr">
        <is>
          <t xml:space="preserve">  Depreciation &amp; Amortization</t>
        </is>
      </c>
      <c r="B32" s="191" t="inlineStr">
        <is>
          <t>CF_DEPR_AMORT</t>
        </is>
      </c>
      <c r="C32" s="191" t="inlineStr">
        <is>
          <t>CF011</t>
        </is>
      </c>
      <c r="E32" s="193" t="n">
        <v>2.133</v>
      </c>
      <c r="F32" s="193" t="n">
        <v>2.053</v>
      </c>
      <c r="G32" s="193" t="n">
        <v>2.399</v>
      </c>
      <c r="H32" s="193" t="n">
        <v>2.38</v>
      </c>
      <c r="I32" s="193" t="n">
        <v>2.504978849414376</v>
      </c>
      <c r="J32" s="193" t="n">
        <v>2.374476872263821</v>
      </c>
      <c r="K32" s="193" t="n">
        <v>1.866429982147207</v>
      </c>
      <c r="L32" s="193" t="n">
        <v>1.662262782339655</v>
      </c>
      <c r="M32" s="193" t="n">
        <v>1.662676466614253</v>
      </c>
      <c r="N32" s="193" t="n">
        <v>1.719750166930583</v>
      </c>
    </row>
    <row r="33">
      <c r="A33" s="191" t="inlineStr">
        <is>
          <t xml:space="preserve">    Amortization</t>
        </is>
      </c>
      <c r="B33" s="191" t="inlineStr">
        <is>
          <t>CB_IS_AMORT_INTANG_ASSET_ATTR_OP_EX</t>
        </is>
      </c>
      <c r="C33" s="191" t="inlineStr">
        <is>
          <t>IL286</t>
        </is>
      </c>
      <c r="E33" s="193" t="n">
        <v>1.1</v>
      </c>
      <c r="F33" s="193" t="n">
        <v>1.1</v>
      </c>
      <c r="G33" s="193" t="n">
        <v>1.412</v>
      </c>
      <c r="H33" s="193" t="n">
        <v>1.38</v>
      </c>
      <c r="I33" s="193" t="n">
        <v>1.128991527892466</v>
      </c>
      <c r="J33" s="193" t="n">
        <v>1.137047274224214</v>
      </c>
      <c r="K33" s="193" t="n">
        <v>0.973981591398718</v>
      </c>
      <c r="L33" s="193" t="n">
        <v>0.7693982330255356</v>
      </c>
      <c r="M33" s="193" t="n">
        <v>0.7497745121899386</v>
      </c>
      <c r="N33" s="193" t="n">
        <v>0.7596306690800865</v>
      </c>
    </row>
    <row r="34">
      <c r="A34" s="191" t="inlineStr"/>
    </row>
    <row r="35">
      <c r="A35" s="191" t="inlineStr">
        <is>
          <t xml:space="preserve">  Operating Income</t>
        </is>
      </c>
      <c r="B35" s="191" t="inlineStr">
        <is>
          <t>IS_COMPARABLE_EBIT</t>
        </is>
      </c>
      <c r="C35" s="191" t="inlineStr">
        <is>
          <t>IM132</t>
        </is>
      </c>
      <c r="E35" s="193" t="n">
        <v>-18.891</v>
      </c>
      <c r="F35" s="193" t="n">
        <v>-24.391</v>
      </c>
      <c r="G35" s="193" t="n">
        <v>-23.584</v>
      </c>
      <c r="H35" s="193" t="n">
        <v>-21.754</v>
      </c>
      <c r="I35" s="193" t="n">
        <v>-21.525</v>
      </c>
      <c r="J35" s="193" t="n">
        <v>-15.75</v>
      </c>
      <c r="K35" s="193" t="n">
        <v>-14.66125</v>
      </c>
      <c r="L35" s="193" t="n">
        <v>-11.1575</v>
      </c>
      <c r="M35" s="193" t="n">
        <v>-10.58375</v>
      </c>
      <c r="N35" s="193" t="n">
        <v>-7.3075</v>
      </c>
    </row>
    <row r="36">
      <c r="A36" s="191" t="inlineStr">
        <is>
          <t xml:space="preserve">    Operating Margin (%)</t>
        </is>
      </c>
      <c r="B36" s="191" t="inlineStr">
        <is>
          <t>OPER_MARGIN</t>
        </is>
      </c>
      <c r="C36" s="191" t="inlineStr">
        <is>
          <t>RR026</t>
        </is>
      </c>
      <c r="E36" s="193" t="n">
        <v>-17.22798281852754</v>
      </c>
      <c r="F36" s="193" t="n">
        <v>-20.51232455070684</v>
      </c>
      <c r="G36" s="193" t="n">
        <v>-18.5068349106204</v>
      </c>
      <c r="H36" s="193" t="n">
        <v>-16.03012372243141</v>
      </c>
      <c r="I36" s="193" t="n">
        <v>-15.63721049926662</v>
      </c>
      <c r="J36" s="193" t="n">
        <v>-10.54656977320616</v>
      </c>
      <c r="K36" s="193" t="n">
        <v>-9.712910222733536</v>
      </c>
      <c r="L36" s="193" t="n">
        <v>-6.824494272938692</v>
      </c>
      <c r="M36" s="193" t="n">
        <v>-6.583980000129576</v>
      </c>
      <c r="N36" s="193" t="n">
        <v>-4.434639413326803</v>
      </c>
    </row>
    <row r="37">
      <c r="A37" s="191" t="inlineStr"/>
    </row>
    <row r="38">
      <c r="A38" s="191" t="inlineStr">
        <is>
          <t xml:space="preserve">  EBITDA</t>
        </is>
      </c>
      <c r="B38" s="191" t="inlineStr">
        <is>
          <t>IS_COMPARABLE_EBITDA</t>
        </is>
      </c>
      <c r="C38" s="191" t="inlineStr">
        <is>
          <t>IM131</t>
        </is>
      </c>
      <c r="E38" s="193" t="n">
        <v>-8.692</v>
      </c>
      <c r="F38" s="193" t="n">
        <v>-7.384</v>
      </c>
      <c r="G38" s="193" t="n">
        <v>-5.809</v>
      </c>
      <c r="H38" s="193" t="n">
        <v>-0.003441</v>
      </c>
      <c r="I38" s="193" t="n">
        <v>-4.032222222222222</v>
      </c>
      <c r="J38" s="193" t="n">
        <v>2.409777777777778</v>
      </c>
      <c r="K38" s="193" t="n">
        <v>3.415444444444444</v>
      </c>
      <c r="L38" s="193" t="n">
        <v>6.981111111111111</v>
      </c>
      <c r="M38" s="193" t="n">
        <v>7.79</v>
      </c>
      <c r="N38" s="193" t="n">
        <v>11.25666666666667</v>
      </c>
    </row>
    <row r="39">
      <c r="A39" s="191" t="inlineStr"/>
    </row>
    <row r="40">
      <c r="A40" s="191" t="inlineStr">
        <is>
          <t xml:space="preserve">  Interest Expense (Income), Net</t>
        </is>
      </c>
      <c r="B40" s="191" t="inlineStr">
        <is>
          <t>IS_NET_INTEREST_EXPENSE</t>
        </is>
      </c>
      <c r="C40" s="191" t="inlineStr">
        <is>
          <t>IS325</t>
        </is>
      </c>
      <c r="E40" s="193" t="n">
        <v>1.264</v>
      </c>
      <c r="F40" s="193" t="n">
        <v>-2.964</v>
      </c>
      <c r="G40" s="193" t="n">
        <v>-2.55</v>
      </c>
      <c r="H40" s="193" t="n">
        <v>-2.517</v>
      </c>
      <c r="I40" s="193" t="n">
        <v>-2.328130721522399</v>
      </c>
      <c r="J40" s="193" t="n">
        <v>-2.331399868366686</v>
      </c>
      <c r="K40" s="193" t="n">
        <v>-2.441641925206546</v>
      </c>
      <c r="L40" s="193" t="n">
        <v>-2.433314800060918</v>
      </c>
      <c r="M40" s="193" t="n">
        <v>-2.449805361543126</v>
      </c>
      <c r="N40" s="193" t="n">
        <v>-2.507254322348658</v>
      </c>
    </row>
    <row r="41">
      <c r="A41" s="191" t="inlineStr">
        <is>
          <t xml:space="preserve">    Interest Expense</t>
        </is>
      </c>
      <c r="B41" s="191" t="inlineStr">
        <is>
          <t>CB_IS_INTEREST_EXPENSE</t>
        </is>
      </c>
      <c r="C41" s="191" t="inlineStr">
        <is>
          <t>IL285</t>
        </is>
      </c>
      <c r="E41" s="193" t="n">
        <v>2.147</v>
      </c>
      <c r="F41" s="193" t="n">
        <v>0.371</v>
      </c>
      <c r="G41" s="193" t="n">
        <v>0.229</v>
      </c>
      <c r="H41" s="193" t="n">
        <v>0.282</v>
      </c>
      <c r="I41" s="193" t="n">
        <v>0</v>
      </c>
      <c r="J41" s="193" t="n">
        <v>0</v>
      </c>
      <c r="K41" s="193" t="n">
        <v>0</v>
      </c>
      <c r="L41" s="193" t="n">
        <v>0</v>
      </c>
      <c r="M41" s="193" t="n">
        <v>0</v>
      </c>
      <c r="N41" s="193" t="n">
        <v>0</v>
      </c>
    </row>
    <row r="42">
      <c r="A42" s="191" t="inlineStr">
        <is>
          <t xml:space="preserve">    Interest Income</t>
        </is>
      </c>
      <c r="B42" s="191" t="inlineStr">
        <is>
          <t>CB_IS_INTEREST_INCOME</t>
        </is>
      </c>
      <c r="C42" s="191" t="inlineStr">
        <is>
          <t>IL272</t>
        </is>
      </c>
      <c r="E42" s="193" t="n">
        <v>0.883</v>
      </c>
      <c r="F42" s="193" t="n">
        <v>3.335</v>
      </c>
      <c r="G42" s="193" t="n">
        <v>2.779</v>
      </c>
      <c r="H42" s="193" t="n">
        <v>2.799</v>
      </c>
      <c r="I42" s="193" t="n">
        <v>2.368960927554679</v>
      </c>
      <c r="J42" s="193" t="n">
        <v>2.387225985741988</v>
      </c>
      <c r="K42" s="193" t="n">
        <v>2.58762704142224</v>
      </c>
      <c r="L42" s="193" t="n">
        <v>2.58478563717598</v>
      </c>
      <c r="M42" s="193" t="n">
        <v>2.596344241547342</v>
      </c>
      <c r="N42" s="193" t="n">
        <v>2.660133968050154</v>
      </c>
    </row>
    <row r="43">
      <c r="A43" s="191" t="inlineStr">
        <is>
          <t xml:space="preserve">  Other Income (Expense), Net</t>
        </is>
      </c>
      <c r="B43" s="191" t="inlineStr">
        <is>
          <t>CB_IS_OTHER_NON_OPER_INC_EXPN</t>
        </is>
      </c>
      <c r="C43" s="191" t="inlineStr">
        <is>
          <t>IC447</t>
        </is>
      </c>
      <c r="E43" s="193" t="n">
        <v>5.293</v>
      </c>
      <c r="F43" s="193" t="n">
        <v>0.122</v>
      </c>
      <c r="G43" s="193" t="n">
        <v>-1.442</v>
      </c>
      <c r="H43" s="193" t="n">
        <v>0.154</v>
      </c>
      <c r="I43" s="193" t="n">
        <v>-0.025</v>
      </c>
      <c r="J43" s="193" t="n">
        <v>0.2375</v>
      </c>
      <c r="K43" s="193" t="n">
        <v>0.2166666666666666</v>
      </c>
      <c r="L43" s="193" t="n">
        <v>0.2166666666666666</v>
      </c>
      <c r="M43" s="193" t="n">
        <v>0.2166666666666666</v>
      </c>
      <c r="N43" s="193" t="n">
        <v>0.2166666666666666</v>
      </c>
    </row>
    <row r="44">
      <c r="A44" s="191" t="inlineStr">
        <is>
          <t xml:space="preserve">  Pre-Tax Income</t>
        </is>
      </c>
      <c r="B44" s="191" t="inlineStr">
        <is>
          <t>IS_COMP_PTP_EX_STK_BASED_COMP</t>
        </is>
      </c>
      <c r="C44" s="191" t="inlineStr">
        <is>
          <t>IM383</t>
        </is>
      </c>
      <c r="E44" s="193" t="n">
        <v>-36.397</v>
      </c>
      <c r="F44" s="193" t="n">
        <v>-21.549</v>
      </c>
      <c r="G44" s="193" t="n">
        <v>-19.592</v>
      </c>
      <c r="H44" s="193" t="n">
        <v>-19.391</v>
      </c>
      <c r="I44" s="193" t="n">
        <v>-17</v>
      </c>
      <c r="J44" s="193" t="n">
        <v>-11.2875</v>
      </c>
      <c r="K44" s="193" t="n">
        <v>-9.5375</v>
      </c>
      <c r="L44" s="193" t="n">
        <v>-6.15375</v>
      </c>
      <c r="M44" s="193" t="n">
        <v>-5.22</v>
      </c>
      <c r="N44" s="193" t="n">
        <v>-2.365714285714286</v>
      </c>
    </row>
    <row r="45">
      <c r="A45" s="191" t="inlineStr"/>
    </row>
    <row r="46">
      <c r="A46" s="191" t="inlineStr">
        <is>
          <t xml:space="preserve">  Income Tax Expense</t>
        </is>
      </c>
      <c r="B46" s="191" t="inlineStr">
        <is>
          <t>CB_IS_INCOME_TAX_EXP</t>
        </is>
      </c>
      <c r="C46" s="191" t="inlineStr">
        <is>
          <t>IL455</t>
        </is>
      </c>
      <c r="E46" s="193" t="n">
        <v>0.49</v>
      </c>
      <c r="F46" s="193" t="n">
        <v>0.387</v>
      </c>
      <c r="G46" s="193" t="n">
        <v>0.5570000000000001</v>
      </c>
      <c r="H46" s="193" t="n">
        <v>0.165</v>
      </c>
      <c r="I46" s="193" t="n">
        <v>0.4774402908054465</v>
      </c>
      <c r="J46" s="193" t="n">
        <v>0.4899837135019546</v>
      </c>
      <c r="K46" s="193" t="n">
        <v>0.4483458692188777</v>
      </c>
      <c r="L46" s="193" t="n">
        <v>0.3201534805876343</v>
      </c>
      <c r="M46" s="193" t="n">
        <v>0.3381753775869383</v>
      </c>
      <c r="N46" s="193" t="n">
        <v>0.4426106046859251</v>
      </c>
    </row>
    <row r="47">
      <c r="A47" s="191" t="inlineStr"/>
    </row>
    <row r="48">
      <c r="A48" s="191" t="inlineStr">
        <is>
          <t xml:space="preserve">  Net Income</t>
        </is>
      </c>
      <c r="B48" s="191" t="inlineStr">
        <is>
          <t>IS_COMP_NET_INCOME_GAAP</t>
        </is>
      </c>
      <c r="C48" s="191" t="inlineStr">
        <is>
          <t>IS904</t>
        </is>
      </c>
      <c r="E48" s="193" t="n">
        <v>-36.887</v>
      </c>
      <c r="F48" s="193" t="n">
        <v>-21.936</v>
      </c>
      <c r="G48" s="193" t="n">
        <v>-20.149</v>
      </c>
      <c r="H48" s="193" t="n">
        <v>-19.556</v>
      </c>
      <c r="I48" s="193" t="n">
        <v>-19.7</v>
      </c>
      <c r="J48" s="193" t="n">
        <v>-13.94444444444444</v>
      </c>
      <c r="K48" s="193" t="n">
        <v>-12.52</v>
      </c>
      <c r="L48" s="193" t="n">
        <v>-8.625555555555556</v>
      </c>
      <c r="M48" s="193" t="n">
        <v>-7.89</v>
      </c>
      <c r="N48" s="193" t="n">
        <v>-4.721444444444444</v>
      </c>
    </row>
    <row r="49">
      <c r="A49" s="191" t="inlineStr">
        <is>
          <t xml:space="preserve">    Net Margin (%)</t>
        </is>
      </c>
      <c r="B49" s="191" t="inlineStr">
        <is>
          <t>PROF_MARGIN</t>
        </is>
      </c>
      <c r="C49" s="191" t="inlineStr">
        <is>
          <t>RR243</t>
        </is>
      </c>
      <c r="E49" s="193" t="n">
        <v>-33.63975449828094</v>
      </c>
      <c r="F49" s="193" t="n">
        <v>-18.44772052578022</v>
      </c>
      <c r="G49" s="193" t="n">
        <v>-15.8113219391999</v>
      </c>
      <c r="H49" s="193" t="n">
        <v>-14.41045782457795</v>
      </c>
      <c r="I49" s="193" t="n">
        <v>-14.29650017913243</v>
      </c>
      <c r="J49" s="193" t="n">
        <v>-9.761902038772199</v>
      </c>
      <c r="K49" s="193" t="n">
        <v>-9.013534703226735</v>
      </c>
      <c r="L49" s="193" t="n">
        <v>-6.40025861232894</v>
      </c>
      <c r="M49" s="193" t="n">
        <v>-6.067817296035166</v>
      </c>
      <c r="N49" s="193" t="n">
        <v>-3.63916506765571</v>
      </c>
    </row>
    <row r="50">
      <c r="A50" s="191" t="inlineStr"/>
    </row>
    <row r="51">
      <c r="A51" s="191" t="inlineStr">
        <is>
          <t xml:space="preserve">  Basic Weighted Avg. Shares</t>
        </is>
      </c>
      <c r="B51" s="191" t="inlineStr">
        <is>
          <t>IS_AVG_NUM_SH_FOR_EPS</t>
        </is>
      </c>
      <c r="C51" s="191" t="inlineStr">
        <is>
          <t>IS060</t>
        </is>
      </c>
      <c r="E51" s="193" t="n">
        <v>24.730353</v>
      </c>
      <c r="F51" s="193" t="n">
        <v>32.949511</v>
      </c>
      <c r="G51" s="193" t="n">
        <v>81.177074</v>
      </c>
      <c r="H51" s="193" t="n">
        <v>81.337205</v>
      </c>
      <c r="I51" s="193" t="n">
        <v>81.65700236946286</v>
      </c>
      <c r="J51" s="193" t="n">
        <v>81.92866257678308</v>
      </c>
      <c r="K51" s="193" t="n">
        <v>82.20303365596205</v>
      </c>
      <c r="L51" s="193" t="n">
        <v>82.47750520382336</v>
      </c>
      <c r="M51" s="193" t="n">
        <v>82.75430016754125</v>
      </c>
      <c r="N51" s="193" t="n">
        <v>83.03253048322253</v>
      </c>
    </row>
    <row r="52">
      <c r="A52" s="191" t="inlineStr"/>
    </row>
    <row r="53">
      <c r="A53" s="191" t="inlineStr">
        <is>
          <t xml:space="preserve">  Diluted Weighted Avg. Shares</t>
        </is>
      </c>
      <c r="B53" s="191" t="inlineStr">
        <is>
          <t>IS_SH_FOR_DILUTED_EPS</t>
        </is>
      </c>
      <c r="C53" s="191" t="inlineStr">
        <is>
          <t>IS062</t>
        </is>
      </c>
      <c r="E53" s="193" t="n">
        <v>24.730353</v>
      </c>
      <c r="F53" s="193" t="n">
        <v>32.949511</v>
      </c>
      <c r="G53" s="193" t="n">
        <v>81.177074</v>
      </c>
      <c r="H53" s="193" t="n">
        <v>81.337205</v>
      </c>
      <c r="I53" s="193" t="n">
        <v>81.68686139899715</v>
      </c>
      <c r="J53" s="193" t="n">
        <v>84.21456174871903</v>
      </c>
      <c r="K53" s="193" t="n">
        <v>84.45682822431209</v>
      </c>
      <c r="L53" s="193" t="n">
        <v>84.89379677768957</v>
      </c>
      <c r="M53" s="193" t="n">
        <v>85.12652974374265</v>
      </c>
      <c r="N53" s="193" t="n">
        <v>85.56782842646804</v>
      </c>
    </row>
    <row r="54">
      <c r="A54" s="191" t="inlineStr">
        <is>
          <t xml:space="preserve">  Diluted EPS</t>
        </is>
      </c>
      <c r="B54" s="191" t="inlineStr">
        <is>
          <t>IS_COMP_EPS_GAAP</t>
        </is>
      </c>
      <c r="C54" s="191" t="inlineStr">
        <is>
          <t>IS901</t>
        </is>
      </c>
      <c r="E54" s="193" t="n">
        <v>-0.487279</v>
      </c>
      <c r="F54" s="193" t="n">
        <v>-0.270815</v>
      </c>
      <c r="G54" s="193" t="n">
        <v>-0.25</v>
      </c>
      <c r="H54" s="193" t="n">
        <v>-0.24</v>
      </c>
      <c r="I54" s="193" t="n">
        <v>-0.2425</v>
      </c>
      <c r="J54" s="193" t="n">
        <v>-0.17</v>
      </c>
      <c r="K54" s="193" t="n">
        <v>-0.15625</v>
      </c>
      <c r="L54" s="193" t="n">
        <v>-0.1105</v>
      </c>
      <c r="M54" s="193" t="n">
        <v>-0.101625</v>
      </c>
      <c r="N54" s="193" t="n">
        <v>-0.06275</v>
      </c>
    </row>
    <row r="55">
      <c r="A55" s="191" t="inlineStr"/>
    </row>
    <row r="56">
      <c r="A56" s="191" t="inlineStr">
        <is>
          <t xml:space="preserve">  Adjusted Results</t>
        </is>
      </c>
    </row>
    <row r="57">
      <c r="A57" s="191" t="inlineStr">
        <is>
          <t xml:space="preserve">    Net Income</t>
        </is>
      </c>
      <c r="B57" s="191" t="inlineStr">
        <is>
          <t>IS_COMP_NET_INCOME_ADJUST_OLD</t>
        </is>
      </c>
      <c r="C57" s="191" t="inlineStr">
        <is>
          <t>IS903</t>
        </is>
      </c>
      <c r="E57" s="193" t="n">
        <v>-9.683999999999999</v>
      </c>
      <c r="F57" s="193" t="n">
        <v>-4.796</v>
      </c>
      <c r="G57" s="193" t="n">
        <v>-3.771</v>
      </c>
      <c r="H57" s="193" t="n">
        <v>-0.838</v>
      </c>
      <c r="I57" s="193" t="n">
        <v>-4.111111111111111</v>
      </c>
      <c r="J57" s="193" t="n">
        <v>2.188888888888889</v>
      </c>
      <c r="K57" s="193" t="n">
        <v>3.264333333333334</v>
      </c>
      <c r="L57" s="193" t="n">
        <v>7.123333333333333</v>
      </c>
      <c r="M57" s="193" t="n">
        <v>7.964444444444444</v>
      </c>
      <c r="N57" s="193" t="n">
        <v>11.42555555555555</v>
      </c>
    </row>
    <row r="58">
      <c r="A58" s="191" t="inlineStr">
        <is>
          <t xml:space="preserve">    Diluted EPS</t>
        </is>
      </c>
      <c r="B58" s="191" t="inlineStr">
        <is>
          <t>IS_COMP_EPS_ADJUSTED_OLD</t>
        </is>
      </c>
      <c r="C58" s="191" t="inlineStr">
        <is>
          <t>IS900</t>
        </is>
      </c>
      <c r="E58" s="193" t="n">
        <v>-0.127926</v>
      </c>
      <c r="F58" s="193" t="n">
        <v>-0.05921</v>
      </c>
      <c r="G58" s="193" t="n">
        <v>-0.05</v>
      </c>
      <c r="H58" s="193" t="n">
        <v>-0.010282</v>
      </c>
      <c r="I58" s="193" t="n">
        <v>-0.0272</v>
      </c>
      <c r="J58" s="193" t="n">
        <v>0.0473</v>
      </c>
      <c r="K58" s="193" t="n">
        <v>0.0558</v>
      </c>
      <c r="L58" s="193" t="n">
        <v>0.09709999999999999</v>
      </c>
      <c r="M58" s="193" t="n">
        <v>0.1083</v>
      </c>
      <c r="N58" s="193" t="n">
        <v>0.1539</v>
      </c>
    </row>
    <row r="59">
      <c r="A59" s="191" t="inlineStr"/>
    </row>
    <row r="60">
      <c r="A60" s="191" t="inlineStr">
        <is>
          <t xml:space="preserve">  Company Specific Adjustments</t>
        </is>
      </c>
    </row>
    <row r="61">
      <c r="A61" s="191" t="inlineStr">
        <is>
          <t xml:space="preserve">    Stock-Based Compensation</t>
        </is>
      </c>
      <c r="B61" s="191" t="inlineStr">
        <is>
          <t>CF_STOCK_BASED_COMPENSATION</t>
        </is>
      </c>
      <c r="C61" s="191" t="inlineStr">
        <is>
          <t>CF283</t>
        </is>
      </c>
      <c r="E61" s="193" t="n">
        <v>6.592</v>
      </c>
      <c r="F61" s="193" t="n">
        <v>14.396</v>
      </c>
      <c r="G61" s="193" t="n">
        <v>15.564</v>
      </c>
      <c r="H61" s="193" t="n">
        <v>16.01</v>
      </c>
      <c r="I61" s="193" t="n">
        <v>15.58076550245386</v>
      </c>
      <c r="J61" s="193" t="n">
        <v>16.15941218679627</v>
      </c>
      <c r="K61" s="193" t="n">
        <v>15.93502907590802</v>
      </c>
      <c r="L61" s="193" t="n">
        <v>16.11041672636155</v>
      </c>
      <c r="M61" s="193" t="n">
        <v>16.22580472315131</v>
      </c>
      <c r="N61" s="193" t="n">
        <v>16.54329499162948</v>
      </c>
    </row>
    <row r="62">
      <c r="A62" s="191" t="inlineStr">
        <is>
          <t xml:space="preserve">      Cost of Goods Sold</t>
        </is>
      </c>
      <c r="B62" s="191" t="inlineStr">
        <is>
          <t>IS_SBC_ATTRIB_TO_COGS_PRETX</t>
        </is>
      </c>
      <c r="C62" s="191" t="inlineStr">
        <is>
          <t>IM496</t>
        </is>
      </c>
      <c r="E62" s="193" t="n">
        <v>0.038</v>
      </c>
      <c r="F62" s="193" t="n">
        <v>0.056</v>
      </c>
      <c r="G62" s="193" t="n">
        <v>0.075</v>
      </c>
      <c r="H62" s="193" t="n">
        <v>0.098</v>
      </c>
      <c r="I62" s="193" t="n">
        <v>0.09379945172615906</v>
      </c>
      <c r="J62" s="193" t="n">
        <v>0.1006138415162123</v>
      </c>
      <c r="K62" s="193" t="n">
        <v>0.1081883696068121</v>
      </c>
      <c r="L62" s="193" t="n">
        <v>0.1089868069087586</v>
      </c>
      <c r="M62" s="193" t="n">
        <v>0.1091531566877809</v>
      </c>
      <c r="N62" s="193" t="n">
        <v>0.111685947324382</v>
      </c>
    </row>
    <row r="63">
      <c r="A63" s="191" t="inlineStr">
        <is>
          <t xml:space="preserve">      Research &amp; Development</t>
        </is>
      </c>
      <c r="B63" s="191" t="inlineStr">
        <is>
          <t>IS_SBC_ATTRIBUTABLE_TO_R_AND_D_PRETX</t>
        </is>
      </c>
      <c r="C63" s="191" t="inlineStr">
        <is>
          <t>IM494</t>
        </is>
      </c>
      <c r="E63" s="193" t="n">
        <v>1.874</v>
      </c>
      <c r="F63" s="193" t="n">
        <v>3.54</v>
      </c>
      <c r="G63" s="193" t="n">
        <v>4.03</v>
      </c>
      <c r="H63" s="193" t="n">
        <v>4.302</v>
      </c>
      <c r="I63" s="193" t="n">
        <v>3.957277896922854</v>
      </c>
      <c r="J63" s="193" t="n">
        <v>3.978200779363828</v>
      </c>
      <c r="K63" s="193" t="n">
        <v>3.716859476950585</v>
      </c>
      <c r="L63" s="193" t="n">
        <v>3.744109024353236</v>
      </c>
      <c r="M63" s="193" t="n">
        <v>3.79655195794442</v>
      </c>
      <c r="N63" s="193" t="n">
        <v>3.9091380472938</v>
      </c>
    </row>
    <row r="64">
      <c r="A64" s="191" t="inlineStr">
        <is>
          <t xml:space="preserve">      Selling &amp; Marketing</t>
        </is>
      </c>
      <c r="B64" s="191" t="inlineStr">
        <is>
          <t>IS_SBC_ATT_TO_S_AND_M_PRETX</t>
        </is>
      </c>
      <c r="C64" s="191" t="inlineStr">
        <is>
          <t>IM498</t>
        </is>
      </c>
      <c r="E64" s="193" t="n">
        <v>1.687</v>
      </c>
      <c r="F64" s="193" t="n">
        <v>2.895</v>
      </c>
      <c r="G64" s="193" t="n">
        <v>3.328</v>
      </c>
      <c r="H64" s="193" t="n">
        <v>3.623</v>
      </c>
      <c r="I64" s="193" t="n">
        <v>3.11145755046173</v>
      </c>
      <c r="J64" s="193" t="n">
        <v>3.128627552030845</v>
      </c>
      <c r="K64" s="193" t="n">
        <v>3.191743004743393</v>
      </c>
      <c r="L64" s="193" t="n">
        <v>3.256636844867661</v>
      </c>
      <c r="M64" s="193" t="n">
        <v>3.307942022943009</v>
      </c>
      <c r="N64" s="193" t="n">
        <v>3.359073038242016</v>
      </c>
    </row>
    <row r="65">
      <c r="A65" s="191" t="inlineStr">
        <is>
          <t xml:space="preserve">      General &amp; Administrative</t>
        </is>
      </c>
      <c r="B65" s="191" t="inlineStr">
        <is>
          <t>IS_SBC_ATT_TO_GENL_AND_ADMIN_PRETX</t>
        </is>
      </c>
      <c r="C65" s="191" t="inlineStr">
        <is>
          <t>IM497</t>
        </is>
      </c>
      <c r="E65" s="193" t="n">
        <v>2.993</v>
      </c>
      <c r="F65" s="193" t="n">
        <v>7.905</v>
      </c>
      <c r="G65" s="193" t="n">
        <v>8.131</v>
      </c>
      <c r="H65" s="193" t="n">
        <v>7.987</v>
      </c>
      <c r="I65" s="193" t="n">
        <v>8.391111785726682</v>
      </c>
      <c r="J65" s="193" t="n">
        <v>8.952479325367218</v>
      </c>
      <c r="K65" s="193" t="n">
        <v>8.89662916712409</v>
      </c>
      <c r="L65" s="193" t="n">
        <v>8.989610894765805</v>
      </c>
      <c r="M65" s="193" t="n">
        <v>9.019015729337069</v>
      </c>
      <c r="N65" s="193" t="n">
        <v>9.176390434047537</v>
      </c>
    </row>
    <row r="66">
      <c r="A66" s="191" t="inlineStr"/>
    </row>
    <row r="67">
      <c r="A67" s="191" t="inlineStr">
        <is>
          <t xml:space="preserve">  Condensed Balance Sheet</t>
        </is>
      </c>
    </row>
    <row r="68">
      <c r="A68" s="191" t="inlineStr">
        <is>
          <t xml:space="preserve">  Assets</t>
        </is>
      </c>
    </row>
    <row r="69">
      <c r="A69" s="191" t="inlineStr">
        <is>
          <t xml:space="preserve">    Current Assets</t>
        </is>
      </c>
      <c r="B69" s="191" t="inlineStr">
        <is>
          <t>BS_CUR_ASSET_REPORT</t>
        </is>
      </c>
      <c r="C69" s="191" t="inlineStr">
        <is>
          <t>BS015</t>
        </is>
      </c>
      <c r="E69" s="193" t="n">
        <v>478.906</v>
      </c>
      <c r="F69" s="193" t="n">
        <v>469.551</v>
      </c>
      <c r="G69" s="193" t="n">
        <v>461.178</v>
      </c>
      <c r="H69" s="193" t="n">
        <v>458.206</v>
      </c>
      <c r="I69" s="193" t="n">
        <v>455.831928586333</v>
      </c>
      <c r="J69" s="193" t="n">
        <v>461.3713463021385</v>
      </c>
      <c r="K69" s="193" t="n">
        <v>463.4296404186277</v>
      </c>
      <c r="L69" s="193" t="n">
        <v>475.4897409928622</v>
      </c>
      <c r="M69" s="193" t="n">
        <v>488.6160889992121</v>
      </c>
      <c r="N69" s="193" t="n">
        <v>506.3202605144127</v>
      </c>
    </row>
    <row r="70">
      <c r="A70" s="191" t="inlineStr">
        <is>
          <t xml:space="preserve">      Accounts Receivable</t>
        </is>
      </c>
      <c r="B70" s="191" t="inlineStr">
        <is>
          <t>CB_BS_ACCOUNTS_RECEIVABLE</t>
        </is>
      </c>
      <c r="C70" s="191" t="inlineStr">
        <is>
          <t>BL309</t>
        </is>
      </c>
      <c r="E70" s="193" t="n">
        <v>84.307</v>
      </c>
      <c r="F70" s="193" t="n">
        <v>81.572</v>
      </c>
      <c r="G70" s="193" t="n">
        <v>94.916</v>
      </c>
      <c r="H70" s="193" t="n">
        <v>104.679</v>
      </c>
      <c r="I70" s="193" t="n">
        <v>106.0409625777689</v>
      </c>
      <c r="J70" s="193" t="n">
        <v>112.5540862604655</v>
      </c>
      <c r="K70" s="193" t="n">
        <v>114.1702611722918</v>
      </c>
      <c r="L70" s="193" t="n">
        <v>122.5011625242911</v>
      </c>
      <c r="M70" s="193" t="n">
        <v>126.3323032289124</v>
      </c>
      <c r="N70" s="193" t="n">
        <v>133.9062210629723</v>
      </c>
    </row>
    <row r="71">
      <c r="A71" s="191" t="inlineStr">
        <is>
          <t xml:space="preserve">      Prepaid Expenses</t>
        </is>
      </c>
      <c r="B71" s="191" t="inlineStr">
        <is>
          <t>PREPAID_EXPNSS_AND_OTHR</t>
        </is>
      </c>
      <c r="C71" s="191" t="inlineStr">
        <is>
          <t>BL249</t>
        </is>
      </c>
      <c r="E71" s="193" t="n">
        <v>16.441</v>
      </c>
      <c r="F71" s="193" t="n">
        <v>17.065</v>
      </c>
      <c r="G71" s="193" t="n">
        <v>18.104</v>
      </c>
      <c r="H71" s="193" t="n">
        <v>17.612</v>
      </c>
      <c r="I71" s="193" t="n">
        <v>18.89815122890804</v>
      </c>
      <c r="J71" s="193" t="n">
        <v>19.6268595588108</v>
      </c>
      <c r="K71" s="193" t="n">
        <v>20.2670565956972</v>
      </c>
      <c r="L71" s="193" t="n">
        <v>22.22143746490637</v>
      </c>
      <c r="M71" s="193" t="n">
        <v>24.55410346600027</v>
      </c>
      <c r="N71" s="193" t="n">
        <v>25.75277462320983</v>
      </c>
    </row>
    <row r="72">
      <c r="A72" s="191" t="inlineStr">
        <is>
          <t xml:space="preserve">    Non-Current Assets</t>
        </is>
      </c>
      <c r="B72" s="191" t="inlineStr">
        <is>
          <t>BS_TOTAL_NON_CURRENT_ASSETS</t>
        </is>
      </c>
      <c r="C72" s="191" t="inlineStr">
        <is>
          <t>BM321</t>
        </is>
      </c>
      <c r="E72" s="193" t="n">
        <v>223.152</v>
      </c>
      <c r="F72" s="193" t="n">
        <v>263.544</v>
      </c>
      <c r="G72" s="193" t="n">
        <v>262.142</v>
      </c>
      <c r="H72" s="193" t="n">
        <v>260.143</v>
      </c>
      <c r="I72" s="193" t="n">
        <v>256.8952766174111</v>
      </c>
      <c r="J72" s="193" t="n">
        <v>257.3245907614289</v>
      </c>
      <c r="K72" s="193" t="n">
        <v>255.7248997612481</v>
      </c>
      <c r="L72" s="193" t="n">
        <v>256.244903146448</v>
      </c>
      <c r="M72" s="193" t="n">
        <v>256.1911734520372</v>
      </c>
      <c r="N72" s="193" t="n">
        <v>256.7370410135068</v>
      </c>
    </row>
    <row r="73">
      <c r="A73" s="191" t="inlineStr">
        <is>
          <t xml:space="preserve">      Property, Plant &amp; Equipment</t>
        </is>
      </c>
      <c r="B73" s="191" t="inlineStr">
        <is>
          <t>CB_BS_PP_AND_E_NET</t>
        </is>
      </c>
      <c r="C73" s="191" t="inlineStr">
        <is>
          <t>BM788</t>
        </is>
      </c>
      <c r="E73" s="193" t="n">
        <v>13.01</v>
      </c>
      <c r="F73" s="193" t="n">
        <v>13.395</v>
      </c>
      <c r="G73" s="193" t="n">
        <v>14.649</v>
      </c>
      <c r="H73" s="193" t="n">
        <v>16.051</v>
      </c>
      <c r="I73" s="193" t="n">
        <v>17.31800956543946</v>
      </c>
      <c r="J73" s="193" t="n">
        <v>18.759023079236</v>
      </c>
      <c r="K73" s="193" t="n">
        <v>20.24637686579135</v>
      </c>
      <c r="L73" s="193" t="n">
        <v>21.91772387489426</v>
      </c>
      <c r="M73" s="193" t="n">
        <v>23.44656323726192</v>
      </c>
      <c r="N73" s="193" t="n">
        <v>25.06290763632369</v>
      </c>
    </row>
    <row r="74">
      <c r="A74" s="191" t="inlineStr">
        <is>
          <t xml:space="preserve">      Operating Lease Right-of-Use Asset</t>
        </is>
      </c>
      <c r="B74" s="191" t="inlineStr">
        <is>
          <t>BS_OPER_LEA_RT_OF_USE_ASSETS</t>
        </is>
      </c>
      <c r="C74" s="191" t="inlineStr">
        <is>
          <t>BM659</t>
        </is>
      </c>
      <c r="E74" s="193" t="n">
        <v>16.244</v>
      </c>
      <c r="F74" s="193" t="n">
        <v>18.319</v>
      </c>
      <c r="G74" s="193" t="n">
        <v>18.81</v>
      </c>
      <c r="H74" s="193" t="n">
        <v>17.085</v>
      </c>
      <c r="I74" s="193" t="n">
        <v>16.71042857142857</v>
      </c>
      <c r="J74" s="193" t="n">
        <v>16.308</v>
      </c>
      <c r="K74" s="193" t="n">
        <v>15.90557142857143</v>
      </c>
      <c r="L74" s="193" t="n">
        <v>15.50314285714286</v>
      </c>
      <c r="M74" s="193" t="n">
        <v>15.10071428571429</v>
      </c>
      <c r="N74" s="193" t="n">
        <v>14.69828571428572</v>
      </c>
    </row>
    <row r="75">
      <c r="A75" s="191" t="inlineStr">
        <is>
          <t xml:space="preserve">      Deferred Tax Assets</t>
        </is>
      </c>
      <c r="B75" s="191" t="inlineStr">
        <is>
          <t>BS_DEFERRED_TAX_ASSETS_LT</t>
        </is>
      </c>
      <c r="C75" s="191" t="inlineStr">
        <is>
          <t>BM079</t>
        </is>
      </c>
      <c r="E75" s="193" t="n">
        <v>1.183</v>
      </c>
      <c r="F75" s="193" t="n">
        <v>0.529</v>
      </c>
      <c r="G75" s="193" t="n">
        <v>0.437</v>
      </c>
      <c r="H75" s="193" t="n">
        <v>0.401</v>
      </c>
      <c r="I75" s="193" t="n">
        <v>0.3998716784923733</v>
      </c>
      <c r="J75" s="193" t="n">
        <v>0.4084082382013272</v>
      </c>
      <c r="K75" s="193" t="n">
        <v>0.4088214682509894</v>
      </c>
      <c r="L75" s="193" t="n">
        <v>0.4121630384216234</v>
      </c>
      <c r="M75" s="193" t="n">
        <v>0.4139260692819877</v>
      </c>
      <c r="N75" s="193" t="n">
        <v>0.422893948732168</v>
      </c>
    </row>
    <row r="76">
      <c r="A76" s="191" t="inlineStr">
        <is>
          <t xml:space="preserve">      Intangible Assets</t>
        </is>
      </c>
      <c r="B76" s="191" t="inlineStr">
        <is>
          <t>CB_BS_INTANG_ASSETS_EX_GW_NT</t>
        </is>
      </c>
      <c r="C76" s="191" t="inlineStr">
        <is>
          <t>BM787</t>
        </is>
      </c>
      <c r="E76" s="193" t="n">
        <v>24.127</v>
      </c>
      <c r="F76" s="193" t="n">
        <v>36.025</v>
      </c>
      <c r="G76" s="193" t="n">
        <v>34.336</v>
      </c>
      <c r="H76" s="193" t="n">
        <v>32.971</v>
      </c>
      <c r="I76" s="193" t="n">
        <v>30.17206383691859</v>
      </c>
      <c r="J76" s="193" t="n">
        <v>29.41621025744145</v>
      </c>
      <c r="K76" s="193" t="n">
        <v>28.04837172071823</v>
      </c>
      <c r="L76" s="193" t="n">
        <v>27.47220643865464</v>
      </c>
      <c r="M76" s="193" t="n">
        <v>26.56431213213941</v>
      </c>
      <c r="N76" s="193" t="n">
        <v>25.83425932161278</v>
      </c>
    </row>
    <row r="77">
      <c r="A77" s="191" t="inlineStr">
        <is>
          <t xml:space="preserve">      Goodwill</t>
        </is>
      </c>
      <c r="B77" s="191" t="inlineStr">
        <is>
          <t>BS_GOODWILL</t>
        </is>
      </c>
      <c r="C77" s="191" t="inlineStr">
        <is>
          <t>BS161</t>
        </is>
      </c>
      <c r="E77" s="193" t="n">
        <v>165.962</v>
      </c>
      <c r="F77" s="193" t="n">
        <v>192.305</v>
      </c>
      <c r="G77" s="193" t="n">
        <v>191.005</v>
      </c>
      <c r="H77" s="193" t="n">
        <v>190.72</v>
      </c>
      <c r="I77" s="193" t="n">
        <v>190.72</v>
      </c>
      <c r="J77" s="193" t="n">
        <v>190.72</v>
      </c>
      <c r="K77" s="193" t="n">
        <v>190.72</v>
      </c>
      <c r="L77" s="193" t="n">
        <v>190.72</v>
      </c>
      <c r="M77" s="193" t="n">
        <v>190.72</v>
      </c>
      <c r="N77" s="193" t="n">
        <v>190.72</v>
      </c>
    </row>
    <row r="78">
      <c r="A78" s="191" t="inlineStr">
        <is>
          <t xml:space="preserve">      Other Assets</t>
        </is>
      </c>
      <c r="B78" s="191" t="inlineStr">
        <is>
          <t>CB_BS_OTHER_NONCURRENT_ASSETS</t>
        </is>
      </c>
      <c r="C78" s="191" t="inlineStr">
        <is>
          <t>BM784</t>
        </is>
      </c>
      <c r="E78" s="193" t="n">
        <v>1.492</v>
      </c>
      <c r="F78" s="193" t="n">
        <v>1.8</v>
      </c>
      <c r="G78" s="193" t="n">
        <v>1.687</v>
      </c>
      <c r="H78" s="193" t="n">
        <v>1.614</v>
      </c>
      <c r="I78" s="193" t="n">
        <v>2.318246151232219</v>
      </c>
      <c r="J78" s="193" t="n">
        <v>2.433865532757786</v>
      </c>
      <c r="K78" s="193" t="n">
        <v>2.010341760000933</v>
      </c>
      <c r="L78" s="193" t="n">
        <v>2.007148069311637</v>
      </c>
      <c r="M78" s="193" t="n">
        <v>2.026581789469957</v>
      </c>
      <c r="N78" s="193" t="n">
        <v>2.13232694028899</v>
      </c>
    </row>
    <row r="79">
      <c r="A79" s="191" t="inlineStr">
        <is>
          <t xml:space="preserve">    Total Assets</t>
        </is>
      </c>
      <c r="B79" s="191" t="inlineStr">
        <is>
          <t>BS_TOT_ASSET</t>
        </is>
      </c>
      <c r="C79" s="191" t="inlineStr">
        <is>
          <t>BS035</t>
        </is>
      </c>
      <c r="E79" s="193" t="n">
        <v>702.058</v>
      </c>
      <c r="F79" s="193" t="n">
        <v>733.095</v>
      </c>
      <c r="G79" s="193" t="n">
        <v>723.3200000000001</v>
      </c>
      <c r="H79" s="193" t="n">
        <v>718.349</v>
      </c>
      <c r="I79" s="193" t="n">
        <v>713.7125756158479</v>
      </c>
      <c r="J79" s="193" t="n">
        <v>719.4979407911547</v>
      </c>
      <c r="K79" s="193" t="n">
        <v>720.6366141782083</v>
      </c>
      <c r="L79" s="193" t="n">
        <v>733.1287245401136</v>
      </c>
      <c r="M79" s="193" t="n">
        <v>746.369799014701</v>
      </c>
      <c r="N79" s="193" t="n">
        <v>764.5855985509065</v>
      </c>
    </row>
    <row r="80">
      <c r="A80" s="191" t="inlineStr"/>
    </row>
    <row r="81">
      <c r="A81" s="191" t="inlineStr">
        <is>
          <t xml:space="preserve">  Liabilities &amp; Equity</t>
        </is>
      </c>
    </row>
    <row r="82">
      <c r="A82" s="191" t="inlineStr">
        <is>
          <t xml:space="preserve">    Current Liabilities</t>
        </is>
      </c>
      <c r="B82" s="191" t="inlineStr">
        <is>
          <t>CB_BS_CURR_LIABILITIES</t>
        </is>
      </c>
      <c r="C82" s="191" t="inlineStr">
        <is>
          <t>BL332</t>
        </is>
      </c>
      <c r="E82" s="193" t="n">
        <v>92.705</v>
      </c>
      <c r="F82" s="193" t="n">
        <v>94.235</v>
      </c>
      <c r="G82" s="193" t="n">
        <v>90.624</v>
      </c>
      <c r="H82" s="193" t="n">
        <v>90.79600000000001</v>
      </c>
      <c r="I82" s="193" t="n">
        <v>91.60927589347507</v>
      </c>
      <c r="J82" s="193" t="n">
        <v>96.58536837244627</v>
      </c>
      <c r="K82" s="193" t="n">
        <v>93.35741608572951</v>
      </c>
      <c r="L82" s="193" t="n">
        <v>96.15596915235461</v>
      </c>
      <c r="M82" s="193" t="n">
        <v>98.92580339144733</v>
      </c>
      <c r="N82" s="193" t="n">
        <v>103.9754520837754</v>
      </c>
    </row>
    <row r="83">
      <c r="A83" s="191" t="inlineStr">
        <is>
          <t xml:space="preserve">      Accounts Payable</t>
        </is>
      </c>
      <c r="B83" s="191" t="inlineStr">
        <is>
          <t>CB_BS_ACCOUNTS_PAYABLE</t>
        </is>
      </c>
      <c r="C83" s="191" t="inlineStr">
        <is>
          <t>BL370</t>
        </is>
      </c>
      <c r="E83" s="193" t="n">
        <v>5.663</v>
      </c>
      <c r="F83" s="193" t="n">
        <v>4.427</v>
      </c>
      <c r="G83" s="193" t="n">
        <v>7.222</v>
      </c>
      <c r="H83" s="193" t="n">
        <v>6.039</v>
      </c>
      <c r="I83" s="193" t="n">
        <v>7.15538940446881</v>
      </c>
      <c r="J83" s="193" t="n">
        <v>7.492803438102973</v>
      </c>
      <c r="K83" s="193" t="n">
        <v>7.222128642074043</v>
      </c>
      <c r="L83" s="193" t="n">
        <v>7.396820197974914</v>
      </c>
      <c r="M83" s="193" t="n">
        <v>7.384580932427196</v>
      </c>
      <c r="N83" s="193" t="n">
        <v>7.721187309043989</v>
      </c>
    </row>
    <row r="84">
      <c r="A84" s="191" t="inlineStr">
        <is>
          <t xml:space="preserve">      Accrued Expenses &amp; Other Current Liabilities</t>
        </is>
      </c>
      <c r="B84" s="191" t="inlineStr">
        <is>
          <t>BS_ACCRUD_EXPNSS_AND_OTHR</t>
        </is>
      </c>
      <c r="C84" s="191" t="inlineStr">
        <is>
          <t>BL255</t>
        </is>
      </c>
      <c r="E84" s="193" t="n">
        <v>25.838</v>
      </c>
      <c r="F84" s="193" t="n">
        <v>24.886</v>
      </c>
      <c r="G84" s="193" t="n">
        <v>21.128</v>
      </c>
      <c r="H84" s="193" t="n">
        <v>23.859</v>
      </c>
      <c r="I84" s="193" t="n">
        <v>24.74790430866515</v>
      </c>
      <c r="J84" s="193" t="n">
        <v>24.81078831104913</v>
      </c>
      <c r="K84" s="193" t="n">
        <v>24.14330893357414</v>
      </c>
      <c r="L84" s="193" t="n">
        <v>24.65251495029723</v>
      </c>
      <c r="M84" s="193" t="n">
        <v>26.07223919874466</v>
      </c>
      <c r="N84" s="193" t="n">
        <v>27.63382312400486</v>
      </c>
    </row>
    <row r="85">
      <c r="A85" s="191" t="inlineStr">
        <is>
          <t xml:space="preserve">      Operating Lease Liabilities</t>
        </is>
      </c>
      <c r="B85" s="191" t="inlineStr">
        <is>
          <t>BS_ST_OPERATING_LEASE_LIABS</t>
        </is>
      </c>
      <c r="C85" s="191" t="inlineStr">
        <is>
          <t>BM660</t>
        </is>
      </c>
      <c r="E85" s="193" t="n">
        <v>8.106</v>
      </c>
      <c r="F85" s="193" t="n">
        <v>9.749000000000001</v>
      </c>
      <c r="G85" s="193" t="n">
        <v>10.021</v>
      </c>
      <c r="H85" s="193" t="n">
        <v>9.829000000000001</v>
      </c>
      <c r="I85" s="193" t="n">
        <v>9.356056687786641</v>
      </c>
      <c r="J85" s="193" t="n">
        <v>9.626790591795864</v>
      </c>
      <c r="K85" s="193" t="n">
        <v>9.815310713951799</v>
      </c>
      <c r="L85" s="193" t="n">
        <v>10.65802833396283</v>
      </c>
      <c r="M85" s="193" t="n">
        <v>10.90072959752583</v>
      </c>
      <c r="N85" s="193" t="n">
        <v>11.24039228650861</v>
      </c>
    </row>
    <row r="86">
      <c r="A86" s="191" t="inlineStr">
        <is>
          <t xml:space="preserve">      Deferred Revenue</t>
        </is>
      </c>
      <c r="B86" s="191" t="inlineStr">
        <is>
          <t>CB_BS_ST_DEFER_REVENUE</t>
        </is>
      </c>
      <c r="C86" s="191" t="inlineStr">
        <is>
          <t>BL256</t>
        </is>
      </c>
      <c r="E86" s="193" t="n">
        <v>24.103</v>
      </c>
      <c r="F86" s="193" t="n">
        <v>26.893</v>
      </c>
      <c r="G86" s="193" t="n">
        <v>23.954</v>
      </c>
      <c r="H86" s="193" t="n">
        <v>22.81</v>
      </c>
      <c r="I86" s="193" t="n">
        <v>23.97141183852525</v>
      </c>
      <c r="J86" s="193" t="n">
        <v>25.25346390200853</v>
      </c>
      <c r="K86" s="193" t="n">
        <v>23.73015682861985</v>
      </c>
      <c r="L86" s="193" t="n">
        <v>23.24722256568946</v>
      </c>
      <c r="M86" s="193" t="n">
        <v>24.87423243568072</v>
      </c>
      <c r="N86" s="193" t="n">
        <v>25.58264455929666</v>
      </c>
    </row>
    <row r="87">
      <c r="A87" s="191" t="inlineStr">
        <is>
          <t xml:space="preserve">      Insurance Payables</t>
        </is>
      </c>
      <c r="B87" s="191" t="inlineStr">
        <is>
          <t>CB_BS_OTHER_CURRENT_LIABS</t>
        </is>
      </c>
      <c r="C87" s="191" t="inlineStr">
        <is>
          <t>BM786</t>
        </is>
      </c>
      <c r="E87" s="193" t="n">
        <v>15.751</v>
      </c>
      <c r="F87" s="193" t="n">
        <v>15.144</v>
      </c>
      <c r="G87" s="193" t="n">
        <v>14.882</v>
      </c>
      <c r="H87" s="193" t="n">
        <v>15.329</v>
      </c>
      <c r="I87" s="193" t="n">
        <v>14.92423824317812</v>
      </c>
      <c r="J87" s="193" t="n">
        <v>18.17735360141975</v>
      </c>
      <c r="K87" s="193" t="n">
        <v>18.30441622164702</v>
      </c>
      <c r="L87" s="193" t="n">
        <v>20.18407821036124</v>
      </c>
      <c r="M87" s="193" t="n">
        <v>20.06667987142495</v>
      </c>
      <c r="N87" s="193" t="n">
        <v>22.01125396637453</v>
      </c>
    </row>
    <row r="88">
      <c r="A88" s="191" t="inlineStr">
        <is>
          <t xml:space="preserve">      Accrued Compensation &amp; Benefits</t>
        </is>
      </c>
      <c r="B88" s="191" t="inlineStr">
        <is>
          <t>BS_ST_ACC_CMPNSTN_POSTRET_OBLIG</t>
        </is>
      </c>
      <c r="C88" s="191" t="inlineStr">
        <is>
          <t>BL253</t>
        </is>
      </c>
      <c r="E88" s="193" t="n">
        <v>13.244</v>
      </c>
      <c r="F88" s="193" t="n">
        <v>13.136</v>
      </c>
      <c r="G88" s="193" t="n">
        <v>13.417</v>
      </c>
      <c r="H88" s="193" t="n">
        <v>12.93</v>
      </c>
      <c r="I88" s="193" t="n">
        <v>11.0485708153882</v>
      </c>
      <c r="J88" s="193" t="n">
        <v>11.31301755798733</v>
      </c>
      <c r="K88" s="193" t="n">
        <v>10.10500070456207</v>
      </c>
      <c r="L88" s="193" t="n">
        <v>10.28963208490029</v>
      </c>
      <c r="M88" s="193" t="n">
        <v>9.813979629912936</v>
      </c>
      <c r="N88" s="193" t="n">
        <v>10.3432743680144</v>
      </c>
    </row>
    <row r="89">
      <c r="A89" s="191" t="inlineStr">
        <is>
          <t xml:space="preserve">    Non-Current Liabilities</t>
        </is>
      </c>
    </row>
    <row r="90">
      <c r="A90" s="191" t="inlineStr">
        <is>
          <t xml:space="preserve">      Operating Lease Liabilities</t>
        </is>
      </c>
      <c r="B90" s="191" t="inlineStr">
        <is>
          <t>BS_LT_OPERATING_LEASE_LIABS</t>
        </is>
      </c>
      <c r="C90" s="191" t="inlineStr">
        <is>
          <t>BM661</t>
        </is>
      </c>
      <c r="E90" s="193" t="n">
        <v>8.409000000000001</v>
      </c>
      <c r="F90" s="193" t="n">
        <v>9.378</v>
      </c>
      <c r="G90" s="193" t="n">
        <v>9.249000000000001</v>
      </c>
      <c r="H90" s="193" t="n">
        <v>8.196</v>
      </c>
      <c r="I90" s="193" t="n">
        <v>9.197142807393689</v>
      </c>
      <c r="J90" s="193" t="n">
        <v>9.804853888534602</v>
      </c>
      <c r="K90" s="193" t="n">
        <v>10.04477996641885</v>
      </c>
      <c r="L90" s="193" t="n">
        <v>10.45037004765581</v>
      </c>
      <c r="M90" s="193" t="n">
        <v>10.76717011813174</v>
      </c>
      <c r="N90" s="193" t="n">
        <v>11.33997597473992</v>
      </c>
    </row>
    <row r="91">
      <c r="A91" s="191" t="inlineStr">
        <is>
          <t xml:space="preserve">      Deferred Revenue</t>
        </is>
      </c>
      <c r="B91" s="191" t="inlineStr">
        <is>
          <t>CB_BS_LT_DEFERRED_REVENUE</t>
        </is>
      </c>
      <c r="C91" s="191" t="inlineStr">
        <is>
          <t>BL435</t>
        </is>
      </c>
      <c r="E91" s="193" t="n">
        <v>1.354</v>
      </c>
      <c r="F91" s="193" t="n">
        <v>0</v>
      </c>
      <c r="G91" s="193" t="n">
        <v>1.321</v>
      </c>
      <c r="H91" s="193" t="n">
        <v>1.048</v>
      </c>
      <c r="I91" s="193" t="n">
        <v>1.504102486027014</v>
      </c>
      <c r="J91" s="193" t="n">
        <v>1.582564133974719</v>
      </c>
      <c r="K91" s="193" t="n">
        <v>1.446332008716082</v>
      </c>
      <c r="L91" s="193" t="n">
        <v>1.403623604132894</v>
      </c>
      <c r="M91" s="193" t="n">
        <v>1.47690670553666</v>
      </c>
      <c r="N91" s="193" t="n">
        <v>1.530072784152361</v>
      </c>
    </row>
    <row r="92">
      <c r="A92" s="191" t="inlineStr">
        <is>
          <t xml:space="preserve">    Total Liabilities</t>
        </is>
      </c>
      <c r="B92" s="191" t="inlineStr">
        <is>
          <t>BS_TOT_LIAB2</t>
        </is>
      </c>
      <c r="C92" s="191" t="inlineStr">
        <is>
          <t>RR005</t>
        </is>
      </c>
      <c r="E92" s="193" t="n">
        <v>127.468</v>
      </c>
      <c r="F92" s="193" t="n">
        <v>105.359</v>
      </c>
      <c r="G92" s="193" t="n">
        <v>101.194</v>
      </c>
      <c r="H92" s="193" t="n">
        <v>100.04</v>
      </c>
      <c r="I92" s="193" t="n">
        <v>104.1127489011815</v>
      </c>
      <c r="J92" s="193" t="n">
        <v>108.3464426806699</v>
      </c>
      <c r="K92" s="193" t="n">
        <v>105.2221843465787</v>
      </c>
      <c r="L92" s="193" t="n">
        <v>108.3836190898576</v>
      </c>
      <c r="M92" s="193" t="n">
        <v>111.54353650083</v>
      </c>
      <c r="N92" s="193" t="n">
        <v>117.219157128382</v>
      </c>
    </row>
    <row r="93">
      <c r="A93" s="191" t="inlineStr">
        <is>
          <t xml:space="preserve">    Total Shareholders' Equity</t>
        </is>
      </c>
      <c r="B93" s="191" t="inlineStr">
        <is>
          <t>BS_TOT_EQY</t>
        </is>
      </c>
      <c r="C93" s="191" t="inlineStr">
        <is>
          <t>BS095</t>
        </is>
      </c>
      <c r="E93" s="193" t="n">
        <v>574.59</v>
      </c>
      <c r="F93" s="193" t="n">
        <v>627.736</v>
      </c>
      <c r="G93" s="193" t="n">
        <v>622.126</v>
      </c>
      <c r="H93" s="193" t="n">
        <v>618.309</v>
      </c>
      <c r="I93" s="193" t="n">
        <v>609.5998267146663</v>
      </c>
      <c r="J93" s="193" t="n">
        <v>611.1514981104849</v>
      </c>
      <c r="K93" s="193" t="n">
        <v>615.4144298316298</v>
      </c>
      <c r="L93" s="193" t="n">
        <v>624.745105450256</v>
      </c>
      <c r="M93" s="193" t="n">
        <v>634.8262625138709</v>
      </c>
      <c r="N93" s="193" t="n">
        <v>647.3664414225246</v>
      </c>
    </row>
    <row r="94">
      <c r="A94" s="191" t="inlineStr">
        <is>
          <t xml:space="preserve">    Total Liabilities &amp; Shareholders' Equity</t>
        </is>
      </c>
      <c r="B94" s="191" t="inlineStr">
        <is>
          <t>BS_TOT_ASSET</t>
        </is>
      </c>
      <c r="C94" s="191" t="inlineStr">
        <is>
          <t>BS035</t>
        </is>
      </c>
      <c r="E94" s="193" t="n">
        <v>702.058</v>
      </c>
      <c r="F94" s="193" t="n">
        <v>733.095</v>
      </c>
      <c r="G94" s="193" t="n">
        <v>723.3200000000001</v>
      </c>
      <c r="H94" s="193" t="n">
        <v>718.349</v>
      </c>
      <c r="I94" s="193" t="n">
        <v>713.7125756158479</v>
      </c>
      <c r="J94" s="193" t="n">
        <v>719.4979407911547</v>
      </c>
      <c r="K94" s="193" t="n">
        <v>720.6366141782083</v>
      </c>
      <c r="L94" s="193" t="n">
        <v>733.1287245401136</v>
      </c>
      <c r="M94" s="193" t="n">
        <v>746.369799014701</v>
      </c>
      <c r="N94" s="193" t="n">
        <v>764.5855985509065</v>
      </c>
    </row>
    <row r="95">
      <c r="A95" s="191" t="inlineStr"/>
    </row>
    <row r="96">
      <c r="A96" s="191" t="inlineStr">
        <is>
          <t xml:space="preserve">  Condensed Cash Flow Statement</t>
        </is>
      </c>
    </row>
    <row r="97">
      <c r="A97" s="191" t="inlineStr">
        <is>
          <t xml:space="preserve">  Cash from Operating Activities</t>
        </is>
      </c>
    </row>
    <row r="98">
      <c r="A98" s="191" t="inlineStr">
        <is>
          <t xml:space="preserve">    Net Income</t>
        </is>
      </c>
      <c r="B98" s="191" t="inlineStr">
        <is>
          <t>IS_COMP_NET_INCOME_GAAP</t>
        </is>
      </c>
      <c r="C98" s="191" t="inlineStr">
        <is>
          <t>IS904</t>
        </is>
      </c>
      <c r="E98" s="193" t="n">
        <v>-36.887</v>
      </c>
      <c r="F98" s="193" t="n">
        <v>-21.936</v>
      </c>
      <c r="G98" s="193" t="n">
        <v>-20.149</v>
      </c>
      <c r="H98" s="193" t="n">
        <v>-19.556</v>
      </c>
      <c r="I98" s="193" t="n">
        <v>-19.7</v>
      </c>
      <c r="J98" s="193" t="n">
        <v>-13.94444444444444</v>
      </c>
      <c r="K98" s="193" t="n">
        <v>-12.52</v>
      </c>
      <c r="L98" s="193" t="n">
        <v>-8.625555555555556</v>
      </c>
      <c r="M98" s="193" t="n">
        <v>-7.89</v>
      </c>
      <c r="N98" s="193" t="n">
        <v>-4.721444444444444</v>
      </c>
    </row>
    <row r="99">
      <c r="A99" s="191" t="inlineStr">
        <is>
          <t xml:space="preserve">    Depreciation &amp; Amortization</t>
        </is>
      </c>
      <c r="B99" s="191" t="inlineStr">
        <is>
          <t>CF_DEPR_AMORT</t>
        </is>
      </c>
      <c r="C99" s="191" t="inlineStr">
        <is>
          <t>CF011</t>
        </is>
      </c>
      <c r="E99" s="193" t="n">
        <v>2.133</v>
      </c>
      <c r="F99" s="193" t="n">
        <v>2.053</v>
      </c>
      <c r="G99" s="193" t="n">
        <v>2.399</v>
      </c>
      <c r="H99" s="193" t="n">
        <v>2.38</v>
      </c>
      <c r="I99" s="193" t="n">
        <v>2.504978849414376</v>
      </c>
      <c r="J99" s="193" t="n">
        <v>2.374476872263821</v>
      </c>
      <c r="K99" s="193" t="n">
        <v>1.866429982147207</v>
      </c>
      <c r="L99" s="193" t="n">
        <v>1.662262782339655</v>
      </c>
      <c r="M99" s="193" t="n">
        <v>1.662676466614253</v>
      </c>
      <c r="N99" s="193" t="n">
        <v>1.719750166930583</v>
      </c>
    </row>
    <row r="100">
      <c r="A100" s="191" t="inlineStr">
        <is>
          <t xml:space="preserve">    Stock-Based Compensation</t>
        </is>
      </c>
      <c r="B100" s="191" t="inlineStr">
        <is>
          <t>CF_STOCK_BASED_COMPENSATION</t>
        </is>
      </c>
      <c r="C100" s="191" t="inlineStr">
        <is>
          <t>CF283</t>
        </is>
      </c>
      <c r="E100" s="193" t="n">
        <v>6.592</v>
      </c>
      <c r="F100" s="193" t="n">
        <v>14.396</v>
      </c>
      <c r="G100" s="193" t="n">
        <v>15.564</v>
      </c>
      <c r="H100" s="193" t="n">
        <v>16.01</v>
      </c>
      <c r="I100" s="193" t="n">
        <v>15.58076550245386</v>
      </c>
      <c r="J100" s="193" t="n">
        <v>16.15941218679627</v>
      </c>
      <c r="K100" s="193" t="n">
        <v>15.93502907590802</v>
      </c>
      <c r="L100" s="193" t="n">
        <v>16.11041672636155</v>
      </c>
      <c r="M100" s="193" t="n">
        <v>16.22580472315131</v>
      </c>
      <c r="N100" s="193" t="n">
        <v>16.54329499162948</v>
      </c>
    </row>
    <row r="101">
      <c r="A101" s="191" t="inlineStr">
        <is>
          <t xml:space="preserve">    Change in Working Capital</t>
        </is>
      </c>
    </row>
    <row r="102">
      <c r="A102" s="191" t="inlineStr">
        <is>
          <t xml:space="preserve">      Accounts Receivable</t>
        </is>
      </c>
      <c r="B102" s="191" t="inlineStr">
        <is>
          <t>CB_CF_CHANGE_IN_ACCOUNTS_RECEIVABLE</t>
        </is>
      </c>
      <c r="C102" s="191" t="inlineStr">
        <is>
          <t>CF505</t>
        </is>
      </c>
      <c r="E102" s="193" t="n">
        <v>-2.061</v>
      </c>
      <c r="F102" s="193" t="n">
        <v>6.615</v>
      </c>
      <c r="G102" s="193" t="n">
        <v>-13.788</v>
      </c>
      <c r="H102" s="193" t="n">
        <v>-9.853</v>
      </c>
      <c r="I102" s="193" t="n">
        <v>-1.361962577768947</v>
      </c>
      <c r="J102" s="193" t="n">
        <v>-6.513123682696575</v>
      </c>
      <c r="K102" s="193" t="n">
        <v>-1.616174911826275</v>
      </c>
      <c r="L102" s="193" t="n">
        <v>-8.330901351999334</v>
      </c>
      <c r="M102" s="193" t="n">
        <v>-3.831140704621223</v>
      </c>
      <c r="N102" s="193" t="n">
        <v>-7.573917834059929</v>
      </c>
    </row>
    <row r="103">
      <c r="A103" s="191" t="inlineStr">
        <is>
          <t xml:space="preserve">      Prepaid Expenses &amp; Other Assets</t>
        </is>
      </c>
      <c r="B103" s="191" t="inlineStr">
        <is>
          <t>CF_CHANGE_IN_OTHR_CURRNT_ASSTS</t>
        </is>
      </c>
      <c r="C103" s="191" t="inlineStr">
        <is>
          <t>CF447</t>
        </is>
      </c>
      <c r="E103" s="193" t="n">
        <v>-1.305</v>
      </c>
      <c r="F103" s="193" t="n">
        <v>-2.058</v>
      </c>
      <c r="G103" s="193" t="n">
        <v>-1.003</v>
      </c>
      <c r="H103" s="193" t="n">
        <v>0.5620000000000001</v>
      </c>
      <c r="I103" s="193" t="n">
        <v>-2.585358505134177</v>
      </c>
      <c r="J103" s="193" t="n">
        <v>-2.108702284127103</v>
      </c>
      <c r="K103" s="193" t="n">
        <v>-0.9295075194301443</v>
      </c>
      <c r="L103" s="193" t="n">
        <v>-2.8870830112495</v>
      </c>
      <c r="M103" s="193" t="n">
        <v>-3.827869898103544</v>
      </c>
      <c r="N103" s="193" t="n">
        <v>-2.248492699838148</v>
      </c>
    </row>
    <row r="104">
      <c r="A104" s="191" t="inlineStr">
        <is>
          <t xml:space="preserve">      Accounts Payable</t>
        </is>
      </c>
      <c r="B104" s="191" t="inlineStr">
        <is>
          <t>CF_CHANGE_IN_ACCOUNTS_PAYABLE</t>
        </is>
      </c>
      <c r="C104" s="191" t="inlineStr">
        <is>
          <t>CF278</t>
        </is>
      </c>
      <c r="E104" s="193" t="n">
        <v>-1.253</v>
      </c>
      <c r="F104" s="193" t="n">
        <v>-1.891</v>
      </c>
      <c r="G104" s="193" t="n">
        <v>2.818</v>
      </c>
      <c r="H104" s="193" t="n">
        <v>-1.178</v>
      </c>
      <c r="I104" s="193" t="n">
        <v>1.159906172838611</v>
      </c>
      <c r="J104" s="193" t="n">
        <v>0.539854590269919</v>
      </c>
      <c r="K104" s="193" t="n">
        <v>-0.3869891326425746</v>
      </c>
      <c r="L104" s="193" t="n">
        <v>-0.1562454520132227</v>
      </c>
      <c r="M104" s="193" t="n">
        <v>0.1940350243230893</v>
      </c>
      <c r="N104" s="193" t="n">
        <v>0.4567977423628348</v>
      </c>
    </row>
    <row r="105">
      <c r="A105" s="191" t="inlineStr">
        <is>
          <t xml:space="preserve">      Operating Lease Liabilities</t>
        </is>
      </c>
      <c r="B105" s="191" t="inlineStr">
        <is>
          <t>CF_CHANGE_IN_OPER_LEASE_LIBLTS</t>
        </is>
      </c>
      <c r="C105" s="191" t="inlineStr">
        <is>
          <t>CF440</t>
        </is>
      </c>
      <c r="E105" s="193" t="n">
        <v>-2.367</v>
      </c>
      <c r="F105" s="193" t="n">
        <v>-1.92</v>
      </c>
      <c r="G105" s="193" t="n">
        <v>-3.557</v>
      </c>
      <c r="H105" s="193" t="n">
        <v>-2.296</v>
      </c>
      <c r="I105" s="193" t="n">
        <v>-1.077122431527537</v>
      </c>
      <c r="J105" s="193" t="n">
        <v>-0.3822639632550714</v>
      </c>
      <c r="K105" s="193" t="n">
        <v>-1.118555847525084</v>
      </c>
      <c r="L105" s="193" t="n">
        <v>0.05253666296122213</v>
      </c>
      <c r="M105" s="193" t="n">
        <v>-0.9182908044165162</v>
      </c>
      <c r="N105" s="193" t="n">
        <v>-0.6055055093239701</v>
      </c>
    </row>
    <row r="106">
      <c r="A106" s="191" t="inlineStr">
        <is>
          <t xml:space="preserve">      Deferred Revenue</t>
        </is>
      </c>
      <c r="B106" s="191" t="inlineStr">
        <is>
          <t>CF_CHG_IN_DEFER_UNEARND_REV_ST</t>
        </is>
      </c>
      <c r="C106" s="191" t="inlineStr">
        <is>
          <t>CF434</t>
        </is>
      </c>
      <c r="E106" s="193" t="n">
        <v>2.672</v>
      </c>
      <c r="F106" s="193" t="n">
        <v>0.272</v>
      </c>
      <c r="G106" s="193" t="n">
        <v>-3.233</v>
      </c>
      <c r="H106" s="193" t="n">
        <v>-1.374</v>
      </c>
      <c r="I106" s="193" t="n">
        <v>1.589952462898208</v>
      </c>
      <c r="J106" s="193" t="n">
        <v>0.9857700340401803</v>
      </c>
      <c r="K106" s="193" t="n">
        <v>-1.36453579883652</v>
      </c>
      <c r="L106" s="193" t="n">
        <v>-0.6663588525538372</v>
      </c>
      <c r="M106" s="193" t="n">
        <v>1.662014951382375</v>
      </c>
      <c r="N106" s="193" t="n">
        <v>0.4147213920656118</v>
      </c>
    </row>
    <row r="107">
      <c r="A107" s="191" t="inlineStr">
        <is>
          <t xml:space="preserve">      Accrued Compensation &amp; Benefits</t>
        </is>
      </c>
      <c r="B107" s="191" t="inlineStr">
        <is>
          <t>CF_CHG_IN_ACC_CMPNSTN_PYRL_EXPNS</t>
        </is>
      </c>
      <c r="C107" s="191" t="inlineStr">
        <is>
          <t>CF452</t>
        </is>
      </c>
      <c r="E107" s="193" t="n">
        <v>3.148</v>
      </c>
      <c r="F107" s="193" t="n">
        <v>-0.299</v>
      </c>
      <c r="G107" s="193" t="n">
        <v>0.382</v>
      </c>
      <c r="H107" s="193" t="n">
        <v>-0.47</v>
      </c>
      <c r="I107" s="193" t="n">
        <v>0.4764491012763928</v>
      </c>
      <c r="J107" s="193" t="n">
        <v>0.8170163986460424</v>
      </c>
      <c r="K107" s="193" t="n">
        <v>-1.810442065280018</v>
      </c>
      <c r="L107" s="193" t="n">
        <v>0.2982685323509902</v>
      </c>
      <c r="M107" s="193" t="n">
        <v>-0.2166947303170798</v>
      </c>
      <c r="N107" s="193" t="n">
        <v>1.073550190554318</v>
      </c>
    </row>
    <row r="108">
      <c r="A108" s="191" t="inlineStr">
        <is>
          <t xml:space="preserve">  Cash Flow from Operations</t>
        </is>
      </c>
      <c r="B108" s="191" t="inlineStr">
        <is>
          <t>CB_CF_NET_CASH_OPERATING_ACT</t>
        </is>
      </c>
      <c r="C108" s="191" t="inlineStr">
        <is>
          <t>CF376</t>
        </is>
      </c>
      <c r="E108" s="193" t="n">
        <v>-8.529999999999999</v>
      </c>
      <c r="F108" s="193" t="n">
        <v>-0.455</v>
      </c>
      <c r="G108" s="193" t="n">
        <v>-21.197</v>
      </c>
      <c r="H108" s="193" t="n">
        <v>-10.645</v>
      </c>
      <c r="I108" s="193" t="n">
        <v>-1.361423369871316</v>
      </c>
      <c r="J108" s="193" t="n">
        <v>3.903079565645898</v>
      </c>
      <c r="K108" s="193" t="n">
        <v>1.38244951491677</v>
      </c>
      <c r="L108" s="193" t="n">
        <v>3.914797858258166</v>
      </c>
      <c r="M108" s="193" t="n">
        <v>8.571568275585227</v>
      </c>
      <c r="N108" s="193" t="n">
        <v>13.65587232181914</v>
      </c>
    </row>
    <row r="109">
      <c r="A109" s="191" t="inlineStr"/>
    </row>
    <row r="110">
      <c r="A110" s="191" t="inlineStr">
        <is>
          <t xml:space="preserve">  Cash from Investing Activities</t>
        </is>
      </c>
    </row>
    <row r="111">
      <c r="A111" s="191" t="inlineStr">
        <is>
          <t xml:space="preserve">    Capital Expenditures</t>
        </is>
      </c>
      <c r="B111" s="191" t="inlineStr">
        <is>
          <t>HEADLINE_CAPEX</t>
        </is>
      </c>
      <c r="C111" s="191" t="inlineStr">
        <is>
          <t>F1705</t>
        </is>
      </c>
      <c r="E111" s="193" t="n">
        <v>-0.354</v>
      </c>
      <c r="F111" s="193" t="n">
        <v>-0.326</v>
      </c>
      <c r="G111" s="193" t="n">
        <v>-0.289</v>
      </c>
      <c r="H111" s="193" t="n">
        <v>-0.389</v>
      </c>
      <c r="I111" s="193" t="n">
        <v>-1.154</v>
      </c>
      <c r="J111" s="193" t="n">
        <v>-1.2465</v>
      </c>
      <c r="K111" s="193" t="n">
        <v>-1.257</v>
      </c>
      <c r="L111" s="193" t="n">
        <v>-1.3075</v>
      </c>
      <c r="M111" s="193" t="n">
        <v>-1.315</v>
      </c>
      <c r="N111" s="193" t="n">
        <v>-1.4055</v>
      </c>
    </row>
    <row r="112">
      <c r="A112" s="191" t="inlineStr">
        <is>
          <t xml:space="preserve">    Acquisitions—Net of Cash Acquired</t>
        </is>
      </c>
      <c r="B112" s="191" t="inlineStr">
        <is>
          <t>CB_CF_OTHER_INVESTING_ACTIVITIES</t>
        </is>
      </c>
      <c r="C112" s="191" t="inlineStr">
        <is>
          <t>CF491</t>
        </is>
      </c>
      <c r="E112" s="191" t="n"/>
      <c r="F112" s="193" t="n">
        <v>-39.892</v>
      </c>
      <c r="G112" s="193" t="n">
        <v>0</v>
      </c>
      <c r="H112" s="193" t="n">
        <v>0.279</v>
      </c>
      <c r="I112" s="193" t="n">
        <v>-7.515</v>
      </c>
      <c r="J112" s="193" t="n">
        <v>-14.157</v>
      </c>
      <c r="K112" s="193" t="n">
        <v>-15</v>
      </c>
      <c r="L112" s="193" t="n">
        <v>-15</v>
      </c>
      <c r="M112" s="193" t="n">
        <v>-7.505</v>
      </c>
      <c r="N112" s="193" t="n">
        <v>-16.36766666666666</v>
      </c>
    </row>
    <row r="113">
      <c r="A113" s="191" t="inlineStr">
        <is>
          <t xml:space="preserve">  Cash Flow from Investing</t>
        </is>
      </c>
      <c r="B113" s="191" t="inlineStr">
        <is>
          <t>CB_CF_NET_CASH_INVESTING_ACT</t>
        </is>
      </c>
      <c r="C113" s="191" t="inlineStr">
        <is>
          <t>CF377</t>
        </is>
      </c>
      <c r="E113" s="193" t="n">
        <v>-1.458</v>
      </c>
      <c r="F113" s="193" t="n">
        <v>-41.247</v>
      </c>
      <c r="G113" s="193" t="n">
        <v>-2.281</v>
      </c>
      <c r="H113" s="193" t="n">
        <v>-2.125</v>
      </c>
      <c r="I113" s="193" t="n">
        <v>-3.364646616322195</v>
      </c>
      <c r="J113" s="193" t="n">
        <v>-5.420475870559521</v>
      </c>
      <c r="K113" s="193" t="n">
        <v>-3.977361902942524</v>
      </c>
      <c r="L113" s="193" t="n">
        <v>-4.068753954052724</v>
      </c>
      <c r="M113" s="193" t="n">
        <v>-4.086492942992805</v>
      </c>
      <c r="N113" s="193" t="n">
        <v>-6.089592087156619</v>
      </c>
    </row>
    <row r="114">
      <c r="A114" s="191" t="inlineStr"/>
    </row>
    <row r="115">
      <c r="A115" s="191" t="inlineStr">
        <is>
          <t xml:space="preserve">  Cash from Financing Activities</t>
        </is>
      </c>
    </row>
    <row r="116">
      <c r="A116" s="191" t="inlineStr">
        <is>
          <t xml:space="preserve">    Proceeds from Exercise of Stock Options</t>
        </is>
      </c>
      <c r="B116" s="191" t="inlineStr">
        <is>
          <t>CB_CF_EXERCISE_OF_STOCK_OPTIONS</t>
        </is>
      </c>
      <c r="C116" s="191" t="inlineStr">
        <is>
          <t>CF467</t>
        </is>
      </c>
      <c r="E116" s="193" t="n">
        <v>7.898</v>
      </c>
      <c r="F116" s="193" t="n">
        <v>3.794</v>
      </c>
      <c r="G116" s="193" t="n">
        <v>0.996</v>
      </c>
      <c r="H116" s="193" t="n">
        <v>0.695</v>
      </c>
      <c r="I116" s="193" t="n">
        <v>2.156041666666667</v>
      </c>
      <c r="J116" s="193" t="n">
        <v>2.027708333333333</v>
      </c>
      <c r="K116" s="193" t="n">
        <v>2.096083333333333</v>
      </c>
      <c r="L116" s="193" t="n">
        <v>2.093291666666667</v>
      </c>
      <c r="M116" s="193" t="n">
        <v>2.475138888888889</v>
      </c>
      <c r="N116" s="193" t="n">
        <v>2.308194444444445</v>
      </c>
    </row>
    <row r="117">
      <c r="A117" s="191" t="inlineStr">
        <is>
          <t xml:space="preserve">  Cash Flow from Financing</t>
        </is>
      </c>
      <c r="B117" s="191" t="inlineStr">
        <is>
          <t>CB_CF_NET_CASH_FINANCING_ACT</t>
        </is>
      </c>
      <c r="C117" s="191" t="inlineStr">
        <is>
          <t>CF378</t>
        </is>
      </c>
      <c r="E117" s="193" t="n">
        <v>309.718</v>
      </c>
      <c r="F117" s="193" t="n">
        <v>34.376</v>
      </c>
      <c r="G117" s="193" t="n">
        <v>0.996</v>
      </c>
      <c r="H117" s="193" t="n">
        <v>0.695</v>
      </c>
      <c r="I117" s="193" t="n">
        <v>-0.4645238095238094</v>
      </c>
      <c r="J117" s="193" t="n">
        <v>-0.611190476190476</v>
      </c>
      <c r="K117" s="193" t="n">
        <v>2.324095238095238</v>
      </c>
      <c r="L117" s="193" t="n">
        <v>2.320904761904762</v>
      </c>
      <c r="M117" s="193" t="n">
        <v>2.757301587301587</v>
      </c>
      <c r="N117" s="193" t="n">
        <v>2.423650793650794</v>
      </c>
    </row>
    <row r="118">
      <c r="A118" s="191" t="inlineStr"/>
    </row>
    <row r="119">
      <c r="A119" s="191" t="inlineStr">
        <is>
          <t xml:space="preserve">  Special Company Reference Items</t>
        </is>
      </c>
    </row>
    <row r="120">
      <c r="A120" s="191" t="inlineStr">
        <is>
          <t xml:space="preserve">    Effect of Foreign Exchange Rates</t>
        </is>
      </c>
      <c r="B120" s="191" t="inlineStr">
        <is>
          <t>CF_EFFECT_FOREIGN_EXCHANGES</t>
        </is>
      </c>
      <c r="C120" s="191" t="inlineStr">
        <is>
          <t>CF291</t>
        </is>
      </c>
      <c r="E120" s="193" t="n">
        <v>0.261</v>
      </c>
      <c r="F120" s="193" t="n">
        <v>0.119</v>
      </c>
      <c r="G120" s="193" t="n">
        <v>-0.227</v>
      </c>
      <c r="H120" s="193" t="n">
        <v>-0.08500000000000001</v>
      </c>
      <c r="I120" s="193" t="n">
        <v>-0.312</v>
      </c>
      <c r="J120" s="193" t="n">
        <v>-0.312</v>
      </c>
      <c r="K120" s="191" t="n"/>
      <c r="L120" s="191" t="n"/>
      <c r="M120" s="191" t="n"/>
      <c r="N120" s="191" t="n"/>
    </row>
    <row r="121">
      <c r="A121" s="191" t="inlineStr">
        <is>
          <t xml:space="preserve">    Net Change in Cash</t>
        </is>
      </c>
      <c r="B121" s="191" t="inlineStr">
        <is>
          <t>CB_CF_NET_CHANGE_IN_CASH</t>
        </is>
      </c>
      <c r="C121" s="191" t="inlineStr">
        <is>
          <t>CF475</t>
        </is>
      </c>
      <c r="E121" s="193" t="n">
        <v>299.991</v>
      </c>
      <c r="F121" s="193" t="n">
        <v>-7.207</v>
      </c>
      <c r="G121" s="193" t="n">
        <v>-22.709</v>
      </c>
      <c r="H121" s="193" t="n">
        <v>-12.16</v>
      </c>
      <c r="I121" s="193" t="n">
        <v>-5.598328077486894</v>
      </c>
      <c r="J121" s="193" t="n">
        <v>-1.702414296793707</v>
      </c>
      <c r="K121" s="193" t="n">
        <v>-0.1980778322235872</v>
      </c>
      <c r="L121" s="193" t="n">
        <v>1.774818353026045</v>
      </c>
      <c r="M121" s="193" t="n">
        <v>6.962541300634704</v>
      </c>
      <c r="N121" s="193" t="n">
        <v>8.93158252393118</v>
      </c>
    </row>
    <row r="122">
      <c r="A122" s="191" t="inlineStr">
        <is>
          <t xml:space="preserve">      Cash &amp; Cash Equivalents (BOP)</t>
        </is>
      </c>
      <c r="B122" s="191" t="inlineStr">
        <is>
          <t>CF_CASH_AND_CASH_EQUIV_BEG_BAL</t>
        </is>
      </c>
      <c r="C122" s="191" t="inlineStr">
        <is>
          <t>CF224</t>
        </is>
      </c>
      <c r="E122" s="193" t="n">
        <v>79.301</v>
      </c>
      <c r="F122" s="193" t="n">
        <v>379.292</v>
      </c>
      <c r="G122" s="193" t="n">
        <v>372.085</v>
      </c>
      <c r="H122" s="193" t="n">
        <v>349.376</v>
      </c>
      <c r="I122" s="193" t="n">
        <v>337.2167857142857</v>
      </c>
      <c r="J122" s="193" t="n">
        <v>331.6184576367988</v>
      </c>
      <c r="K122" s="193" t="n">
        <v>329.9160433400051</v>
      </c>
      <c r="L122" s="193" t="n">
        <v>330.3405462646275</v>
      </c>
      <c r="M122" s="193" t="n">
        <v>330.6261916771099</v>
      </c>
      <c r="N122" s="193" t="n">
        <v>336.6587122877402</v>
      </c>
    </row>
    <row r="123">
      <c r="A123" s="191" t="inlineStr">
        <is>
          <t xml:space="preserve">      Cash &amp; Cash Equivalents (EOP)</t>
        </is>
      </c>
      <c r="B123" s="191" t="inlineStr">
        <is>
          <t>CF_CASH_AND_CASH_EQUIV_END_BAL</t>
        </is>
      </c>
      <c r="C123" s="191" t="inlineStr">
        <is>
          <t>CF227</t>
        </is>
      </c>
      <c r="E123" s="193" t="n">
        <v>78.989</v>
      </c>
      <c r="F123" s="193" t="n">
        <v>372.085</v>
      </c>
      <c r="G123" s="193" t="n">
        <v>349.376</v>
      </c>
      <c r="H123" s="193" t="n">
        <v>337.216</v>
      </c>
      <c r="I123" s="193" t="n">
        <v>331.0794576367988</v>
      </c>
      <c r="J123" s="193" t="n">
        <v>329.3770433400051</v>
      </c>
      <c r="K123" s="193" t="n">
        <v>329.1789655077815</v>
      </c>
      <c r="L123" s="193" t="n">
        <v>330.9537838608076</v>
      </c>
      <c r="M123" s="193" t="n">
        <v>337.9163251614423</v>
      </c>
      <c r="N123" s="193" t="n">
        <v>346.8479076853734</v>
      </c>
    </row>
    <row r="124">
      <c r="A124" s="191" t="inlineStr"/>
    </row>
    <row r="125">
      <c r="A125" s="191" t="inlineStr">
        <is>
          <t xml:space="preserve">    Free Cash Flow Margin (%)</t>
        </is>
      </c>
      <c r="B125" s="191" t="inlineStr">
        <is>
          <t>FREE_CASH_FLOW_MARGIN</t>
        </is>
      </c>
      <c r="C125" s="191" t="inlineStr">
        <is>
          <t>RX588</t>
        </is>
      </c>
      <c r="E125" s="193" t="n">
        <v>-8.101921516055191</v>
      </c>
      <c r="F125" s="193" t="n">
        <v>-0.6568047834898957</v>
      </c>
      <c r="G125" s="193" t="n">
        <v>-16.86049249023024</v>
      </c>
      <c r="H125" s="193" t="n">
        <v>-8.130752282490953</v>
      </c>
      <c r="I125" s="193" t="n">
        <v>-2.260492006271858</v>
      </c>
      <c r="J125" s="193" t="n">
        <v>0.2692377363918069</v>
      </c>
      <c r="K125" s="193" t="n">
        <v>-0.4600956089930243</v>
      </c>
      <c r="L125" s="193" t="n">
        <v>1.268015574083879</v>
      </c>
      <c r="M125" s="193" t="n">
        <v>3.880290331336665</v>
      </c>
      <c r="N125" s="193" t="n">
        <v>6.619327407319222</v>
      </c>
    </row>
    <row r="126">
      <c r="A126" s="191" t="inlineStr">
        <is>
          <t xml:space="preserve">    CFO to Sales (%)</t>
        </is>
      </c>
      <c r="B126" s="191" t="inlineStr">
        <is>
          <t>CFO_TO_SALES</t>
        </is>
      </c>
      <c r="C126" s="191" t="inlineStr">
        <is>
          <t>RR139</t>
        </is>
      </c>
      <c r="E126" s="193" t="n">
        <v>-7.77908493155682</v>
      </c>
      <c r="F126" s="193" t="n">
        <v>-0.3826455524813092</v>
      </c>
      <c r="G126" s="193" t="n">
        <v>-16.63370842946152</v>
      </c>
      <c r="H126" s="193" t="n">
        <v>-7.844105315127443</v>
      </c>
      <c r="I126" s="193" t="n">
        <v>-0.6043393363565902</v>
      </c>
      <c r="J126" s="193" t="n">
        <v>4.036035892194189</v>
      </c>
      <c r="K126" s="193" t="n">
        <v>3.146181599185908</v>
      </c>
      <c r="L126" s="193" t="n">
        <v>2.469230812106861</v>
      </c>
      <c r="M126" s="193" t="n">
        <v>4.980132995297252</v>
      </c>
      <c r="N126" s="193" t="n">
        <v>8.869634370449635</v>
      </c>
    </row>
    <row r="127">
      <c r="A127" s="191" t="inlineStr"/>
    </row>
    <row r="128">
      <c r="A128" s="191" t="inlineStr">
        <is>
          <t>Source: Bloomberg</t>
        </is>
      </c>
    </row>
  </sheetData>
  <pageMargins left="0.75" right="0.75" top="1" bottom="1" header="0.5" footer="0.5"/>
</worksheet>
</file>

<file path=xl/worksheets/sheet6.xml><?xml version="1.0" encoding="utf-8"?>
<worksheet xmlns="http://schemas.openxmlformats.org/spreadsheetml/2006/main">
  <sheetPr>
    <outlinePr summaryBelow="0" summaryRight="0"/>
    <pageSetUpPr autoPageBreaks="0"/>
  </sheetPr>
  <dimension ref="A1:IU105"/>
  <sheetViews>
    <sheetView workbookViewId="0">
      <selection activeCell="E13" sqref="E13"/>
    </sheetView>
  </sheetViews>
  <sheetFormatPr baseColWidth="10" defaultColWidth="8.83203125" defaultRowHeight="11"/>
  <cols>
    <col width="45.83203125" customWidth="1" style="104" min="1" max="1"/>
    <col width="14.83203125" customWidth="1" style="104" min="2" max="5"/>
    <col width="8.83203125" customWidth="1" style="104" min="6" max="256"/>
    <col width="45.83203125" customWidth="1" style="104" min="257" max="257"/>
    <col width="14.83203125" customWidth="1" style="104" min="258" max="261"/>
    <col width="8.83203125" customWidth="1" style="104" min="262" max="512"/>
    <col width="45.83203125" customWidth="1" style="104" min="513" max="513"/>
    <col width="14.83203125" customWidth="1" style="104" min="514" max="517"/>
    <col width="8.83203125" customWidth="1" style="104" min="518" max="768"/>
    <col width="45.83203125" customWidth="1" style="104" min="769" max="769"/>
    <col width="14.83203125" customWidth="1" style="104" min="770" max="773"/>
    <col width="8.83203125" customWidth="1" style="104" min="774" max="1024"/>
    <col width="45.83203125" customWidth="1" style="104" min="1025" max="1025"/>
    <col width="14.83203125" customWidth="1" style="104" min="1026" max="1029"/>
    <col width="8.83203125" customWidth="1" style="104" min="1030" max="1280"/>
    <col width="45.83203125" customWidth="1" style="104" min="1281" max="1281"/>
    <col width="14.83203125" customWidth="1" style="104" min="1282" max="1285"/>
    <col width="8.83203125" customWidth="1" style="104" min="1286" max="1536"/>
    <col width="45.83203125" customWidth="1" style="104" min="1537" max="1537"/>
    <col width="14.83203125" customWidth="1" style="104" min="1538" max="1541"/>
    <col width="8.83203125" customWidth="1" style="104" min="1542" max="1792"/>
    <col width="45.83203125" customWidth="1" style="104" min="1793" max="1793"/>
    <col width="14.83203125" customWidth="1" style="104" min="1794" max="1797"/>
    <col width="8.83203125" customWidth="1" style="104" min="1798" max="2048"/>
    <col width="45.83203125" customWidth="1" style="104" min="2049" max="2049"/>
    <col width="14.83203125" customWidth="1" style="104" min="2050" max="2053"/>
    <col width="8.83203125" customWidth="1" style="104" min="2054" max="2304"/>
    <col width="45.83203125" customWidth="1" style="104" min="2305" max="2305"/>
    <col width="14.83203125" customWidth="1" style="104" min="2306" max="2309"/>
    <col width="8.83203125" customWidth="1" style="104" min="2310" max="2560"/>
    <col width="45.83203125" customWidth="1" style="104" min="2561" max="2561"/>
    <col width="14.83203125" customWidth="1" style="104" min="2562" max="2565"/>
    <col width="8.83203125" customWidth="1" style="104" min="2566" max="2816"/>
    <col width="45.83203125" customWidth="1" style="104" min="2817" max="2817"/>
    <col width="14.83203125" customWidth="1" style="104" min="2818" max="2821"/>
    <col width="8.83203125" customWidth="1" style="104" min="2822" max="3072"/>
    <col width="45.83203125" customWidth="1" style="104" min="3073" max="3073"/>
    <col width="14.83203125" customWidth="1" style="104" min="3074" max="3077"/>
    <col width="8.83203125" customWidth="1" style="104" min="3078" max="3328"/>
    <col width="45.83203125" customWidth="1" style="104" min="3329" max="3329"/>
    <col width="14.83203125" customWidth="1" style="104" min="3330" max="3333"/>
    <col width="8.83203125" customWidth="1" style="104" min="3334" max="3584"/>
    <col width="45.83203125" customWidth="1" style="104" min="3585" max="3585"/>
    <col width="14.83203125" customWidth="1" style="104" min="3586" max="3589"/>
    <col width="8.83203125" customWidth="1" style="104" min="3590" max="3840"/>
    <col width="45.83203125" customWidth="1" style="104" min="3841" max="3841"/>
    <col width="14.83203125" customWidth="1" style="104" min="3842" max="3845"/>
    <col width="8.83203125" customWidth="1" style="104" min="3846" max="4096"/>
    <col width="45.83203125" customWidth="1" style="104" min="4097" max="4097"/>
    <col width="14.83203125" customWidth="1" style="104" min="4098" max="4101"/>
    <col width="8.83203125" customWidth="1" style="104" min="4102" max="4352"/>
    <col width="45.83203125" customWidth="1" style="104" min="4353" max="4353"/>
    <col width="14.83203125" customWidth="1" style="104" min="4354" max="4357"/>
    <col width="8.83203125" customWidth="1" style="104" min="4358" max="4608"/>
    <col width="45.83203125" customWidth="1" style="104" min="4609" max="4609"/>
    <col width="14.83203125" customWidth="1" style="104" min="4610" max="4613"/>
    <col width="8.83203125" customWidth="1" style="104" min="4614" max="4864"/>
    <col width="45.83203125" customWidth="1" style="104" min="4865" max="4865"/>
    <col width="14.83203125" customWidth="1" style="104" min="4866" max="4869"/>
    <col width="8.83203125" customWidth="1" style="104" min="4870" max="5120"/>
    <col width="45.83203125" customWidth="1" style="104" min="5121" max="5121"/>
    <col width="14.83203125" customWidth="1" style="104" min="5122" max="5125"/>
    <col width="8.83203125" customWidth="1" style="104" min="5126" max="5376"/>
    <col width="45.83203125" customWidth="1" style="104" min="5377" max="5377"/>
    <col width="14.83203125" customWidth="1" style="104" min="5378" max="5381"/>
    <col width="8.83203125" customWidth="1" style="104" min="5382" max="5632"/>
    <col width="45.83203125" customWidth="1" style="104" min="5633" max="5633"/>
    <col width="14.83203125" customWidth="1" style="104" min="5634" max="5637"/>
    <col width="8.83203125" customWidth="1" style="104" min="5638" max="5888"/>
    <col width="45.83203125" customWidth="1" style="104" min="5889" max="5889"/>
    <col width="14.83203125" customWidth="1" style="104" min="5890" max="5893"/>
    <col width="8.83203125" customWidth="1" style="104" min="5894" max="6144"/>
    <col width="45.83203125" customWidth="1" style="104" min="6145" max="6145"/>
    <col width="14.83203125" customWidth="1" style="104" min="6146" max="6149"/>
    <col width="8.83203125" customWidth="1" style="104" min="6150" max="6400"/>
    <col width="45.83203125" customWidth="1" style="104" min="6401" max="6401"/>
    <col width="14.83203125" customWidth="1" style="104" min="6402" max="6405"/>
    <col width="8.83203125" customWidth="1" style="104" min="6406" max="6656"/>
    <col width="45.83203125" customWidth="1" style="104" min="6657" max="6657"/>
    <col width="14.83203125" customWidth="1" style="104" min="6658" max="6661"/>
    <col width="8.83203125" customWidth="1" style="104" min="6662" max="6912"/>
    <col width="45.83203125" customWidth="1" style="104" min="6913" max="6913"/>
    <col width="14.83203125" customWidth="1" style="104" min="6914" max="6917"/>
    <col width="8.83203125" customWidth="1" style="104" min="6918" max="7168"/>
    <col width="45.83203125" customWidth="1" style="104" min="7169" max="7169"/>
    <col width="14.83203125" customWidth="1" style="104" min="7170" max="7173"/>
    <col width="8.83203125" customWidth="1" style="104" min="7174" max="7424"/>
    <col width="45.83203125" customWidth="1" style="104" min="7425" max="7425"/>
    <col width="14.83203125" customWidth="1" style="104" min="7426" max="7429"/>
    <col width="8.83203125" customWidth="1" style="104" min="7430" max="7680"/>
    <col width="45.83203125" customWidth="1" style="104" min="7681" max="7681"/>
    <col width="14.83203125" customWidth="1" style="104" min="7682" max="7685"/>
    <col width="8.83203125" customWidth="1" style="104" min="7686" max="7936"/>
    <col width="45.83203125" customWidth="1" style="104" min="7937" max="7937"/>
    <col width="14.83203125" customWidth="1" style="104" min="7938" max="7941"/>
    <col width="8.83203125" customWidth="1" style="104" min="7942" max="8192"/>
    <col width="45.83203125" customWidth="1" style="104" min="8193" max="8193"/>
    <col width="14.83203125" customWidth="1" style="104" min="8194" max="8197"/>
    <col width="8.83203125" customWidth="1" style="104" min="8198" max="8448"/>
    <col width="45.83203125" customWidth="1" style="104" min="8449" max="8449"/>
    <col width="14.83203125" customWidth="1" style="104" min="8450" max="8453"/>
    <col width="8.83203125" customWidth="1" style="104" min="8454" max="8704"/>
    <col width="45.83203125" customWidth="1" style="104" min="8705" max="8705"/>
    <col width="14.83203125" customWidth="1" style="104" min="8706" max="8709"/>
    <col width="8.83203125" customWidth="1" style="104" min="8710" max="8960"/>
    <col width="45.83203125" customWidth="1" style="104" min="8961" max="8961"/>
    <col width="14.83203125" customWidth="1" style="104" min="8962" max="8965"/>
    <col width="8.83203125" customWidth="1" style="104" min="8966" max="9216"/>
    <col width="45.83203125" customWidth="1" style="104" min="9217" max="9217"/>
    <col width="14.83203125" customWidth="1" style="104" min="9218" max="9221"/>
    <col width="8.83203125" customWidth="1" style="104" min="9222" max="9472"/>
    <col width="45.83203125" customWidth="1" style="104" min="9473" max="9473"/>
    <col width="14.83203125" customWidth="1" style="104" min="9474" max="9477"/>
    <col width="8.83203125" customWidth="1" style="104" min="9478" max="9728"/>
    <col width="45.83203125" customWidth="1" style="104" min="9729" max="9729"/>
    <col width="14.83203125" customWidth="1" style="104" min="9730" max="9733"/>
    <col width="8.83203125" customWidth="1" style="104" min="9734" max="9984"/>
    <col width="45.83203125" customWidth="1" style="104" min="9985" max="9985"/>
    <col width="14.83203125" customWidth="1" style="104" min="9986" max="9989"/>
    <col width="8.83203125" customWidth="1" style="104" min="9990" max="10240"/>
    <col width="45.83203125" customWidth="1" style="104" min="10241" max="10241"/>
    <col width="14.83203125" customWidth="1" style="104" min="10242" max="10245"/>
    <col width="8.83203125" customWidth="1" style="104" min="10246" max="10496"/>
    <col width="45.83203125" customWidth="1" style="104" min="10497" max="10497"/>
    <col width="14.83203125" customWidth="1" style="104" min="10498" max="10501"/>
    <col width="8.83203125" customWidth="1" style="104" min="10502" max="10752"/>
    <col width="45.83203125" customWidth="1" style="104" min="10753" max="10753"/>
    <col width="14.83203125" customWidth="1" style="104" min="10754" max="10757"/>
    <col width="8.83203125" customWidth="1" style="104" min="10758" max="11008"/>
    <col width="45.83203125" customWidth="1" style="104" min="11009" max="11009"/>
    <col width="14.83203125" customWidth="1" style="104" min="11010" max="11013"/>
    <col width="8.83203125" customWidth="1" style="104" min="11014" max="11264"/>
    <col width="45.83203125" customWidth="1" style="104" min="11265" max="11265"/>
    <col width="14.83203125" customWidth="1" style="104" min="11266" max="11269"/>
    <col width="8.83203125" customWidth="1" style="104" min="11270" max="11520"/>
    <col width="45.83203125" customWidth="1" style="104" min="11521" max="11521"/>
    <col width="14.83203125" customWidth="1" style="104" min="11522" max="11525"/>
    <col width="8.83203125" customWidth="1" style="104" min="11526" max="11776"/>
    <col width="45.83203125" customWidth="1" style="104" min="11777" max="11777"/>
    <col width="14.83203125" customWidth="1" style="104" min="11778" max="11781"/>
    <col width="8.83203125" customWidth="1" style="104" min="11782" max="12032"/>
    <col width="45.83203125" customWidth="1" style="104" min="12033" max="12033"/>
    <col width="14.83203125" customWidth="1" style="104" min="12034" max="12037"/>
    <col width="8.83203125" customWidth="1" style="104" min="12038" max="12288"/>
    <col width="45.83203125" customWidth="1" style="104" min="12289" max="12289"/>
    <col width="14.83203125" customWidth="1" style="104" min="12290" max="12293"/>
    <col width="8.83203125" customWidth="1" style="104" min="12294" max="12544"/>
    <col width="45.83203125" customWidth="1" style="104" min="12545" max="12545"/>
    <col width="14.83203125" customWidth="1" style="104" min="12546" max="12549"/>
    <col width="8.83203125" customWidth="1" style="104" min="12550" max="12800"/>
    <col width="45.83203125" customWidth="1" style="104" min="12801" max="12801"/>
    <col width="14.83203125" customWidth="1" style="104" min="12802" max="12805"/>
    <col width="8.83203125" customWidth="1" style="104" min="12806" max="13056"/>
    <col width="45.83203125" customWidth="1" style="104" min="13057" max="13057"/>
    <col width="14.83203125" customWidth="1" style="104" min="13058" max="13061"/>
    <col width="8.83203125" customWidth="1" style="104" min="13062" max="13312"/>
    <col width="45.83203125" customWidth="1" style="104" min="13313" max="13313"/>
    <col width="14.83203125" customWidth="1" style="104" min="13314" max="13317"/>
    <col width="8.83203125" customWidth="1" style="104" min="13318" max="13568"/>
    <col width="45.83203125" customWidth="1" style="104" min="13569" max="13569"/>
    <col width="14.83203125" customWidth="1" style="104" min="13570" max="13573"/>
    <col width="8.83203125" customWidth="1" style="104" min="13574" max="13824"/>
    <col width="45.83203125" customWidth="1" style="104" min="13825" max="13825"/>
    <col width="14.83203125" customWidth="1" style="104" min="13826" max="13829"/>
    <col width="8.83203125" customWidth="1" style="104" min="13830" max="14080"/>
    <col width="45.83203125" customWidth="1" style="104" min="14081" max="14081"/>
    <col width="14.83203125" customWidth="1" style="104" min="14082" max="14085"/>
    <col width="8.83203125" customWidth="1" style="104" min="14086" max="14336"/>
    <col width="45.83203125" customWidth="1" style="104" min="14337" max="14337"/>
    <col width="14.83203125" customWidth="1" style="104" min="14338" max="14341"/>
    <col width="8.83203125" customWidth="1" style="104" min="14342" max="14592"/>
    <col width="45.83203125" customWidth="1" style="104" min="14593" max="14593"/>
    <col width="14.83203125" customWidth="1" style="104" min="14594" max="14597"/>
    <col width="8.83203125" customWidth="1" style="104" min="14598" max="14848"/>
    <col width="45.83203125" customWidth="1" style="104" min="14849" max="14849"/>
    <col width="14.83203125" customWidth="1" style="104" min="14850" max="14853"/>
    <col width="8.83203125" customWidth="1" style="104" min="14854" max="15104"/>
    <col width="45.83203125" customWidth="1" style="104" min="15105" max="15105"/>
    <col width="14.83203125" customWidth="1" style="104" min="15106" max="15109"/>
    <col width="8.83203125" customWidth="1" style="104" min="15110" max="15360"/>
    <col width="45.83203125" customWidth="1" style="104" min="15361" max="15361"/>
    <col width="14.83203125" customWidth="1" style="104" min="15362" max="15365"/>
    <col width="8.83203125" customWidth="1" style="104" min="15366" max="15616"/>
    <col width="45.83203125" customWidth="1" style="104" min="15617" max="15617"/>
    <col width="14.83203125" customWidth="1" style="104" min="15618" max="15621"/>
    <col width="8.83203125" customWidth="1" style="104" min="15622" max="15872"/>
    <col width="45.83203125" customWidth="1" style="104" min="15873" max="15873"/>
    <col width="14.83203125" customWidth="1" style="104" min="15874" max="15877"/>
    <col width="8.83203125" customWidth="1" style="104" min="15878" max="16128"/>
    <col width="45.83203125" customWidth="1" style="104" min="16129" max="16129"/>
    <col width="14.83203125" customWidth="1" style="104" min="16130" max="16133"/>
    <col width="8.83203125" customWidth="1" style="104" min="16134" max="16384"/>
  </cols>
  <sheetData>
    <row r="1">
      <c r="A1" s="132" t="inlineStr">
        <is>
          <t>Income Statement</t>
        </is>
      </c>
      <c r="B1" s="132" t="n"/>
      <c r="C1" s="132" t="n"/>
      <c r="D1" s="132" t="n"/>
      <c r="E1" s="132" t="n"/>
      <c r="F1" s="133" t="n"/>
      <c r="G1" s="134" t="n"/>
      <c r="H1" s="110" t="n"/>
    </row>
    <row r="2" ht="36" customHeight="1" s="240">
      <c r="A2" s="135" t="inlineStr">
        <is>
          <t xml:space="preserve">For the Fiscal Period Ending
</t>
        </is>
      </c>
      <c r="B2" s="136" t="inlineStr">
        <is>
          <t>12 months
Dec-31-2023</t>
        </is>
      </c>
      <c r="C2" s="136" t="inlineStr">
        <is>
          <t>12 months
Dec-31-2024</t>
        </is>
      </c>
      <c r="D2" s="136" t="inlineStr">
        <is>
          <t>12 months
Dec-31-2025</t>
        </is>
      </c>
      <c r="E2" s="136" t="inlineStr">
        <is>
          <t>LTM
12 months
Jun-30-2026</t>
        </is>
      </c>
      <c r="F2" s="133" t="n"/>
      <c r="G2" s="133" t="n"/>
    </row>
    <row r="3" ht="12" customHeight="1" s="240">
      <c r="A3" s="137" t="inlineStr">
        <is>
          <t>Currency</t>
        </is>
      </c>
      <c r="B3" s="138" t="inlineStr">
        <is>
          <t>USD</t>
        </is>
      </c>
      <c r="C3" s="138" t="inlineStr">
        <is>
          <t>USD</t>
        </is>
      </c>
      <c r="D3" s="138" t="inlineStr">
        <is>
          <t>USD</t>
        </is>
      </c>
      <c r="E3" s="138" t="inlineStr">
        <is>
          <t>USD</t>
        </is>
      </c>
      <c r="F3" s="133" t="n"/>
      <c r="G3" s="133" t="n"/>
    </row>
    <row r="4">
      <c r="A4" s="139" t="inlineStr"/>
      <c r="B4" s="140" t="n"/>
      <c r="C4" s="140" t="n"/>
      <c r="D4" s="140" t="n"/>
      <c r="E4" s="140" t="n"/>
      <c r="F4" s="133" t="n"/>
      <c r="G4" s="133" t="n"/>
    </row>
    <row r="5">
      <c r="A5" s="140" t="inlineStr">
        <is>
          <t>Revenue</t>
        </is>
      </c>
      <c r="B5" s="141" t="n">
        <v>248.854</v>
      </c>
      <c r="C5" s="141" t="n">
        <v>337.63</v>
      </c>
      <c r="D5" s="141" t="n">
        <v>434.337</v>
      </c>
      <c r="E5" s="141" t="n">
        <v>491.703</v>
      </c>
      <c r="F5" s="133" t="n"/>
      <c r="G5" s="133" t="n"/>
    </row>
    <row r="6" ht="12" customHeight="1" s="240">
      <c r="A6" s="140" t="inlineStr">
        <is>
          <t>Other Revenue</t>
        </is>
      </c>
      <c r="B6" s="141" t="inlineStr">
        <is>
          <t>-</t>
        </is>
      </c>
      <c r="C6" s="141" t="inlineStr">
        <is>
          <t>-</t>
        </is>
      </c>
      <c r="D6" s="141" t="inlineStr">
        <is>
          <t>-</t>
        </is>
      </c>
      <c r="E6" s="141" t="inlineStr">
        <is>
          <t>-</t>
        </is>
      </c>
      <c r="F6" s="133" t="n"/>
      <c r="G6" s="133" t="n"/>
    </row>
    <row r="7">
      <c r="A7" s="139" t="inlineStr">
        <is>
          <t xml:space="preserve">  Total Revenue</t>
        </is>
      </c>
      <c r="B7" s="142" t="n">
        <v>248.854</v>
      </c>
      <c r="C7" s="142" t="n">
        <v>337.63</v>
      </c>
      <c r="D7" s="142" t="n">
        <v>434.337</v>
      </c>
      <c r="E7" s="142" t="n">
        <v>491.703</v>
      </c>
      <c r="F7" s="133" t="n"/>
      <c r="G7" s="133" t="n"/>
    </row>
    <row r="8">
      <c r="A8" s="140" t="n"/>
      <c r="B8" s="140" t="n"/>
      <c r="C8" s="140" t="n"/>
      <c r="D8" s="140" t="n"/>
      <c r="E8" s="140" t="n"/>
      <c r="F8" s="133" t="n"/>
      <c r="G8" s="133" t="n"/>
    </row>
    <row r="9">
      <c r="A9" s="140" t="inlineStr">
        <is>
          <t>Cost Of Goods Sold</t>
        </is>
      </c>
      <c r="B9" s="141" t="n">
        <v>149.446</v>
      </c>
      <c r="C9" s="141" t="n">
        <v>206.79</v>
      </c>
      <c r="D9" s="141" t="n">
        <v>262.534</v>
      </c>
      <c r="E9" s="141" t="n">
        <v>296</v>
      </c>
      <c r="F9" s="133" t="n"/>
      <c r="G9" s="133" t="n"/>
    </row>
    <row r="10">
      <c r="A10" s="139" t="inlineStr">
        <is>
          <t xml:space="preserve">  Gross Profit</t>
        </is>
      </c>
      <c r="B10" s="142" t="n">
        <v>99.408</v>
      </c>
      <c r="C10" s="142" t="n">
        <v>130.84</v>
      </c>
      <c r="D10" s="142" t="n">
        <v>171.803</v>
      </c>
      <c r="E10" s="142" t="n">
        <v>195.703</v>
      </c>
      <c r="F10" s="133" t="n"/>
      <c r="G10" s="133" t="n"/>
    </row>
    <row r="11">
      <c r="A11" s="140" t="n"/>
      <c r="B11" s="140" t="n"/>
      <c r="C11" s="140" t="n"/>
      <c r="D11" s="140" t="n"/>
      <c r="E11" s="140" t="n"/>
      <c r="F11" s="133" t="n"/>
      <c r="G11" s="133" t="n"/>
    </row>
    <row r="12">
      <c r="A12" s="140" t="inlineStr">
        <is>
          <t>Selling General &amp; Admin Exp.</t>
        </is>
      </c>
      <c r="B12" s="141" t="n">
        <v>118.03</v>
      </c>
      <c r="C12" s="141" t="n">
        <v>125.749</v>
      </c>
      <c r="D12" s="141" t="n">
        <v>155.205</v>
      </c>
      <c r="E12" s="141" t="n">
        <v>184.556</v>
      </c>
      <c r="F12" s="133" t="n"/>
      <c r="G12" s="133" t="n"/>
    </row>
    <row r="13">
      <c r="A13" s="140" t="inlineStr">
        <is>
          <t>R &amp; D Exp.</t>
        </is>
      </c>
      <c r="B13" s="141" t="n">
        <v>95.833</v>
      </c>
      <c r="C13" s="141" t="n">
        <v>88.98699999999999</v>
      </c>
      <c r="D13" s="141" t="n">
        <v>92.303</v>
      </c>
      <c r="E13" s="141" t="n">
        <v>98.85599999999999</v>
      </c>
      <c r="F13" s="133" t="n"/>
      <c r="G13" s="133" t="n"/>
    </row>
    <row r="14" ht="12" customHeight="1" s="240">
      <c r="A14" s="140" t="inlineStr">
        <is>
          <t>Depreciation &amp; Amort.</t>
        </is>
      </c>
      <c r="B14" s="141" t="inlineStr">
        <is>
          <t>-</t>
        </is>
      </c>
      <c r="C14" s="141" t="inlineStr">
        <is>
          <t>-</t>
        </is>
      </c>
      <c r="D14" s="141" t="inlineStr">
        <is>
          <t>-</t>
        </is>
      </c>
      <c r="E14" s="141" t="inlineStr">
        <is>
          <t>-</t>
        </is>
      </c>
      <c r="F14" s="133" t="n"/>
      <c r="G14" s="133"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c r="BY14" s="110" t="n"/>
      <c r="BZ14" s="110" t="n"/>
      <c r="CA14" s="110" t="n"/>
      <c r="CB14" s="110" t="n"/>
      <c r="CC14" s="110" t="n"/>
      <c r="CD14" s="110" t="n"/>
      <c r="CE14" s="110" t="n"/>
      <c r="CF14" s="110" t="n"/>
      <c r="CG14" s="110" t="n"/>
      <c r="CH14" s="110" t="n"/>
      <c r="CI14" s="110" t="n"/>
      <c r="CJ14" s="110" t="n"/>
      <c r="CK14" s="110" t="n"/>
      <c r="CL14" s="110" t="n"/>
      <c r="CM14" s="110" t="n"/>
      <c r="CN14" s="110" t="n"/>
      <c r="CO14" s="110" t="n"/>
      <c r="CP14" s="110" t="n"/>
      <c r="CQ14" s="110" t="n"/>
      <c r="CR14" s="110" t="n"/>
      <c r="CS14" s="110" t="n"/>
      <c r="CT14" s="110" t="n"/>
      <c r="CU14" s="110" t="n"/>
      <c r="CV14" s="110" t="n"/>
      <c r="CW14" s="110" t="n"/>
      <c r="CX14" s="110" t="n"/>
      <c r="CY14" s="110" t="n"/>
      <c r="CZ14" s="110" t="n"/>
      <c r="DA14" s="110" t="n"/>
      <c r="DB14" s="110" t="n"/>
      <c r="DC14" s="110" t="n"/>
      <c r="DD14" s="110" t="n"/>
      <c r="DE14" s="110" t="n"/>
      <c r="DF14" s="110" t="n"/>
      <c r="DG14" s="110" t="n"/>
      <c r="DH14" s="110" t="n"/>
      <c r="DI14" s="110" t="n"/>
      <c r="DJ14" s="110" t="n"/>
      <c r="DK14" s="110" t="n"/>
      <c r="DL14" s="110" t="n"/>
      <c r="DM14" s="110" t="n"/>
      <c r="DN14" s="110" t="n"/>
      <c r="DO14" s="110" t="n"/>
      <c r="DP14" s="110" t="n"/>
      <c r="DQ14" s="110" t="n"/>
      <c r="DR14" s="110" t="n"/>
      <c r="DS14" s="110" t="n"/>
      <c r="DT14" s="110" t="n"/>
      <c r="DU14" s="110" t="n"/>
      <c r="DV14" s="110" t="n"/>
      <c r="DW14" s="110" t="n"/>
      <c r="DX14" s="110" t="n"/>
      <c r="DY14" s="110" t="n"/>
      <c r="DZ14" s="110" t="n"/>
      <c r="EA14" s="110" t="n"/>
      <c r="EB14" s="110" t="n"/>
      <c r="EC14" s="110" t="n"/>
      <c r="ED14" s="110" t="n"/>
      <c r="EE14" s="110" t="n"/>
      <c r="EF14" s="110" t="n"/>
      <c r="EG14" s="110" t="n"/>
      <c r="EH14" s="110" t="n"/>
      <c r="EI14" s="110" t="n"/>
      <c r="EJ14" s="110" t="n"/>
      <c r="EK14" s="110" t="n"/>
      <c r="EL14" s="110" t="n"/>
      <c r="EM14" s="110" t="n"/>
      <c r="EN14" s="110" t="n"/>
      <c r="EO14" s="110" t="n"/>
      <c r="EP14" s="110" t="n"/>
      <c r="EQ14" s="110" t="n"/>
      <c r="ER14" s="110" t="n"/>
      <c r="ES14" s="110" t="n"/>
      <c r="ET14" s="110" t="n"/>
      <c r="EU14" s="110" t="n"/>
      <c r="EV14" s="110" t="n"/>
      <c r="EW14" s="110" t="n"/>
      <c r="EX14" s="110" t="n"/>
      <c r="EY14" s="110" t="n"/>
      <c r="EZ14" s="110" t="n"/>
      <c r="FA14" s="110" t="n"/>
      <c r="FB14" s="110" t="n"/>
      <c r="FC14" s="110" t="n"/>
      <c r="FD14" s="110" t="n"/>
      <c r="FE14" s="110" t="n"/>
      <c r="FF14" s="110" t="n"/>
      <c r="FG14" s="110" t="n"/>
      <c r="FH14" s="110" t="n"/>
      <c r="FI14" s="110" t="n"/>
      <c r="FJ14" s="110" t="n"/>
      <c r="FK14" s="110" t="n"/>
      <c r="FL14" s="110" t="n"/>
      <c r="FM14" s="110" t="n"/>
      <c r="FN14" s="110" t="n"/>
      <c r="FO14" s="110" t="n"/>
      <c r="FP14" s="110" t="n"/>
      <c r="FQ14" s="110" t="n"/>
      <c r="FR14" s="110" t="n"/>
      <c r="FS14" s="110" t="n"/>
      <c r="FT14" s="110" t="n"/>
      <c r="FU14" s="110" t="n"/>
      <c r="FV14" s="110" t="n"/>
      <c r="FW14" s="110" t="n"/>
      <c r="FX14" s="110" t="n"/>
      <c r="FY14" s="110" t="n"/>
      <c r="FZ14" s="110" t="n"/>
      <c r="GA14" s="110" t="n"/>
      <c r="GB14" s="110" t="n"/>
      <c r="GC14" s="110" t="n"/>
      <c r="GD14" s="110" t="n"/>
      <c r="GE14" s="110" t="n"/>
      <c r="GF14" s="110" t="n"/>
      <c r="GG14" s="110" t="n"/>
      <c r="GH14" s="110" t="n"/>
      <c r="GI14" s="110" t="n"/>
      <c r="GJ14" s="110" t="n"/>
      <c r="GK14" s="110" t="n"/>
      <c r="GL14" s="110" t="n"/>
      <c r="GM14" s="110" t="n"/>
      <c r="GN14" s="110" t="n"/>
      <c r="GO14" s="110" t="n"/>
      <c r="GP14" s="110" t="n"/>
      <c r="GQ14" s="110" t="n"/>
      <c r="GR14" s="110" t="n"/>
      <c r="GS14" s="110" t="n"/>
      <c r="GT14" s="110" t="n"/>
      <c r="GU14" s="110" t="n"/>
      <c r="GV14" s="110" t="n"/>
      <c r="GW14" s="110" t="n"/>
      <c r="GX14" s="110" t="n"/>
      <c r="GY14" s="110" t="n"/>
      <c r="GZ14" s="110" t="n"/>
      <c r="HA14" s="110" t="n"/>
      <c r="HB14" s="110" t="n"/>
      <c r="HC14" s="110" t="n"/>
      <c r="HD14" s="110" t="n"/>
      <c r="HE14" s="110" t="n"/>
      <c r="HF14" s="110" t="n"/>
      <c r="HG14" s="110" t="n"/>
      <c r="HH14" s="110" t="n"/>
      <c r="HI14" s="110" t="n"/>
      <c r="HJ14" s="110" t="n"/>
      <c r="HK14" s="110" t="n"/>
      <c r="HL14" s="110" t="n"/>
      <c r="HM14" s="110" t="n"/>
      <c r="HN14" s="110" t="n"/>
      <c r="HO14" s="110" t="n"/>
      <c r="HP14" s="110" t="n"/>
      <c r="HQ14" s="110" t="n"/>
      <c r="HR14" s="110" t="n"/>
      <c r="HS14" s="110" t="n"/>
      <c r="HT14" s="110" t="n"/>
      <c r="HU14" s="110" t="n"/>
      <c r="HV14" s="110" t="n"/>
      <c r="HW14" s="110" t="n"/>
      <c r="HX14" s="110" t="n"/>
      <c r="HY14" s="110" t="n"/>
      <c r="HZ14" s="110" t="n"/>
      <c r="IA14" s="110" t="n"/>
      <c r="IB14" s="110" t="n"/>
      <c r="IC14" s="110" t="n"/>
      <c r="ID14" s="110" t="n"/>
      <c r="IE14" s="110" t="n"/>
      <c r="IF14" s="110" t="n"/>
      <c r="IG14" s="110" t="n"/>
      <c r="IH14" s="110" t="n"/>
      <c r="II14" s="110" t="n"/>
      <c r="IJ14" s="110" t="n"/>
      <c r="IK14" s="110" t="n"/>
      <c r="IL14" s="110" t="n"/>
      <c r="IM14" s="110" t="n"/>
      <c r="IN14" s="110" t="n"/>
      <c r="IO14" s="110" t="n"/>
      <c r="IP14" s="110" t="n"/>
      <c r="IQ14" s="110" t="n"/>
      <c r="IR14" s="110" t="n"/>
      <c r="IS14" s="110" t="n"/>
      <c r="IT14" s="110" t="n"/>
      <c r="IU14" s="110" t="n"/>
    </row>
    <row r="15" ht="12" customHeight="1" s="240">
      <c r="A15" s="140" t="inlineStr">
        <is>
          <t>Other Operating Expense/(Income)</t>
        </is>
      </c>
      <c r="B15" s="141" t="inlineStr">
        <is>
          <t>-</t>
        </is>
      </c>
      <c r="C15" s="141" t="inlineStr">
        <is>
          <t>-</t>
        </is>
      </c>
      <c r="D15" s="141" t="n">
        <v>0.911</v>
      </c>
      <c r="E15" s="141" t="n">
        <v>0.911</v>
      </c>
      <c r="F15" s="133" t="n"/>
      <c r="G15" s="133" t="n"/>
    </row>
    <row r="16">
      <c r="A16" s="140" t="n"/>
      <c r="B16" s="140" t="n"/>
      <c r="C16" s="140" t="n"/>
      <c r="D16" s="140" t="n"/>
      <c r="E16" s="140" t="n"/>
      <c r="F16" s="133" t="n"/>
      <c r="G16" s="133" t="n"/>
    </row>
    <row r="17">
      <c r="A17" s="139" t="inlineStr">
        <is>
          <t xml:space="preserve">  Other Operating Exp., Total</t>
        </is>
      </c>
      <c r="B17" s="142" t="n">
        <v>213.863</v>
      </c>
      <c r="C17" s="142" t="n">
        <v>214.736</v>
      </c>
      <c r="D17" s="142" t="n">
        <v>248.419</v>
      </c>
      <c r="E17" s="142" t="n">
        <v>284.323</v>
      </c>
      <c r="F17" s="133" t="n"/>
      <c r="G17" s="133" t="n"/>
    </row>
    <row r="18">
      <c r="A18" s="140" t="n"/>
      <c r="B18" s="140" t="n"/>
      <c r="C18" s="140" t="n"/>
      <c r="D18" s="140" t="n"/>
      <c r="E18" s="140" t="n"/>
      <c r="F18" s="133" t="n"/>
      <c r="G18" s="133" t="n"/>
    </row>
    <row r="19">
      <c r="A19" s="139" t="inlineStr">
        <is>
          <t xml:space="preserve">  Operating Income</t>
        </is>
      </c>
      <c r="B19" s="143" t="n">
        <v>-114.5</v>
      </c>
      <c r="C19" s="143" t="n">
        <v>-83.90000000000001</v>
      </c>
      <c r="D19" s="143" t="n">
        <v>-76.59999999999999</v>
      </c>
      <c r="E19" s="143" t="n">
        <v>-88.59999999999999</v>
      </c>
      <c r="F19" s="133" t="n"/>
      <c r="G19" s="133" t="n"/>
    </row>
    <row r="20">
      <c r="A20" s="140" t="n"/>
      <c r="B20" s="140" t="n"/>
      <c r="C20" s="140" t="n"/>
      <c r="D20" s="140" t="n"/>
      <c r="E20" s="140" t="n"/>
      <c r="F20" s="133" t="n"/>
      <c r="G20" s="133" t="n"/>
    </row>
    <row r="21">
      <c r="A21" s="140" t="inlineStr">
        <is>
          <t>Interest Expense</t>
        </is>
      </c>
      <c r="B21" s="141" t="n">
        <v>-0.7</v>
      </c>
      <c r="C21" s="141" t="n">
        <v>-4.3</v>
      </c>
      <c r="D21" s="141" t="n">
        <v>-7.3</v>
      </c>
      <c r="E21" s="141" t="n">
        <v>-3</v>
      </c>
      <c r="F21" s="133" t="n"/>
      <c r="G21" s="133" t="n"/>
    </row>
    <row r="22">
      <c r="A22" s="140" t="inlineStr">
        <is>
          <t>Interest and Invest. Income</t>
        </is>
      </c>
      <c r="B22" s="141" t="n">
        <v>3.599</v>
      </c>
      <c r="C22" s="141" t="n">
        <v>2.195</v>
      </c>
      <c r="D22" s="141" t="n">
        <v>5.272</v>
      </c>
      <c r="E22" s="141" t="n">
        <v>9.795999999999999</v>
      </c>
      <c r="F22" s="133" t="n"/>
      <c r="G22" s="133" t="n"/>
    </row>
    <row r="23">
      <c r="A23" s="139" t="inlineStr">
        <is>
          <t xml:space="preserve">  Net Interest Exp.</t>
        </is>
      </c>
      <c r="B23" s="142" t="n">
        <v>2.946</v>
      </c>
      <c r="C23" s="142" t="n">
        <v>-2.1</v>
      </c>
      <c r="D23" s="142" t="n">
        <v>-2.1</v>
      </c>
      <c r="E23" s="142" t="n">
        <v>6.767</v>
      </c>
      <c r="F23" s="133" t="n"/>
      <c r="G23" s="133" t="n"/>
    </row>
    <row r="24">
      <c r="A24" s="140" t="n"/>
      <c r="B24" s="140" t="n"/>
      <c r="C24" s="140" t="n"/>
      <c r="D24" s="140" t="n"/>
      <c r="E24" s="140" t="n"/>
      <c r="F24" s="133" t="n"/>
      <c r="G24" s="133" t="n"/>
    </row>
    <row r="25">
      <c r="A25" s="140" t="inlineStr">
        <is>
          <t>Currency Exchange Gains (Loss)</t>
        </is>
      </c>
      <c r="B25" s="141" t="n">
        <v>-1.5</v>
      </c>
      <c r="C25" s="141" t="n">
        <v>0.326</v>
      </c>
      <c r="D25" s="141" t="n">
        <v>0.475</v>
      </c>
      <c r="E25" s="141" t="n">
        <v>-1.3</v>
      </c>
      <c r="F25" s="133" t="n"/>
      <c r="G25" s="133" t="n"/>
    </row>
    <row r="26">
      <c r="A26" s="140" t="inlineStr">
        <is>
          <t>Other Non-Operating Inc. (Exp.)</t>
        </is>
      </c>
      <c r="B26" s="141" t="n">
        <v>-2.1</v>
      </c>
      <c r="C26" s="141" t="n">
        <v>-4.9</v>
      </c>
      <c r="D26" s="141" t="n">
        <v>-7.2</v>
      </c>
      <c r="E26" s="141" t="n">
        <v>-5.2</v>
      </c>
      <c r="F26" s="133" t="n"/>
      <c r="G26" s="133" t="n"/>
    </row>
    <row r="27">
      <c r="A27" s="139" t="inlineStr">
        <is>
          <t xml:space="preserve">  EBT Excl. Unusual Items</t>
        </is>
      </c>
      <c r="B27" s="142" t="n">
        <v>-115.1</v>
      </c>
      <c r="C27" s="142" t="n">
        <v>-90.5</v>
      </c>
      <c r="D27" s="142" t="n">
        <v>-85.40000000000001</v>
      </c>
      <c r="E27" s="142" t="n">
        <v>-88.40000000000001</v>
      </c>
      <c r="F27" s="133" t="n"/>
      <c r="G27" s="133" t="n"/>
    </row>
    <row r="28">
      <c r="A28" s="140" t="n"/>
      <c r="B28" s="140" t="n"/>
      <c r="C28" s="140" t="n"/>
      <c r="D28" s="140" t="n"/>
      <c r="E28" s="140" t="n"/>
      <c r="F28" s="133" t="n"/>
      <c r="G28" s="133" t="n"/>
    </row>
    <row r="29" ht="12" customHeight="1" s="240">
      <c r="A29" s="140" t="inlineStr">
        <is>
          <t>Impairment of Goodwill</t>
        </is>
      </c>
      <c r="B29" s="141" t="inlineStr">
        <is>
          <t>-</t>
        </is>
      </c>
      <c r="C29" s="141" t="inlineStr">
        <is>
          <t>-</t>
        </is>
      </c>
      <c r="D29" s="141" t="inlineStr">
        <is>
          <t>-</t>
        </is>
      </c>
      <c r="E29" s="141" t="inlineStr">
        <is>
          <t>-</t>
        </is>
      </c>
      <c r="F29" s="133" t="n"/>
      <c r="G29" s="133" t="n"/>
    </row>
    <row r="30" ht="12" customHeight="1" s="240">
      <c r="A30" s="140" t="inlineStr">
        <is>
          <t>Other Unusual Items</t>
        </is>
      </c>
      <c r="B30" s="141" t="inlineStr">
        <is>
          <t>-</t>
        </is>
      </c>
      <c r="C30" s="141" t="n">
        <v>1.857</v>
      </c>
      <c r="D30" s="141" t="n">
        <v>-8.5</v>
      </c>
      <c r="E30" s="141" t="n">
        <v>-8.5</v>
      </c>
      <c r="F30" s="133" t="n"/>
      <c r="G30" s="133" t="n"/>
    </row>
    <row r="31">
      <c r="A31" s="139" t="inlineStr">
        <is>
          <t xml:space="preserve">  EBT Incl. Unusual Items</t>
        </is>
      </c>
      <c r="B31" s="142" t="n">
        <v>-115.1</v>
      </c>
      <c r="C31" s="142" t="n">
        <v>-88.7</v>
      </c>
      <c r="D31" s="142" t="n">
        <v>-93.8</v>
      </c>
      <c r="E31" s="142" t="n">
        <v>-96.90000000000001</v>
      </c>
      <c r="F31" s="133" t="n"/>
      <c r="G31" s="133" t="n"/>
    </row>
    <row r="32">
      <c r="A32" s="140" t="n"/>
      <c r="B32" s="140" t="n"/>
      <c r="C32" s="140" t="n"/>
      <c r="D32" s="140" t="n"/>
      <c r="E32" s="140" t="n"/>
      <c r="F32" s="133" t="n"/>
      <c r="G32" s="133" t="n"/>
    </row>
    <row r="33">
      <c r="A33" s="140" t="inlineStr">
        <is>
          <t>Income Tax Expense</t>
        </is>
      </c>
      <c r="B33" s="141" t="n">
        <v>1.815</v>
      </c>
      <c r="C33" s="141" t="n">
        <v>1.89</v>
      </c>
      <c r="D33" s="141" t="n">
        <v>2.521</v>
      </c>
      <c r="E33" s="141" t="n">
        <v>1.599</v>
      </c>
      <c r="F33" s="133" t="n"/>
      <c r="G33" s="133" t="n"/>
    </row>
    <row r="34">
      <c r="A34" s="139" t="inlineStr">
        <is>
          <t xml:space="preserve">  Earnings from Cont. Ops.</t>
        </is>
      </c>
      <c r="B34" s="142" t="n">
        <v>-117</v>
      </c>
      <c r="C34" s="142" t="n">
        <v>-90.59999999999999</v>
      </c>
      <c r="D34" s="142" t="n">
        <v>-96.40000000000001</v>
      </c>
      <c r="E34" s="142" t="n">
        <v>-98.5</v>
      </c>
      <c r="F34" s="133" t="n"/>
      <c r="G34" s="133" t="n"/>
    </row>
    <row r="35">
      <c r="A35" s="140" t="n"/>
      <c r="B35" s="140" t="n"/>
      <c r="C35" s="140" t="n"/>
      <c r="D35" s="140" t="n"/>
      <c r="E35" s="140" t="n"/>
      <c r="F35" s="133" t="n"/>
      <c r="G35" s="133" t="n"/>
    </row>
    <row r="36" ht="12" customHeight="1" s="240">
      <c r="A36" s="140" t="inlineStr">
        <is>
          <t>Earnings of Discontinued Ops.</t>
        </is>
      </c>
      <c r="B36" s="141" t="inlineStr">
        <is>
          <t>-</t>
        </is>
      </c>
      <c r="C36" s="141" t="inlineStr">
        <is>
          <t>-</t>
        </is>
      </c>
      <c r="D36" s="141" t="inlineStr">
        <is>
          <t>-</t>
        </is>
      </c>
      <c r="E36" s="141" t="inlineStr">
        <is>
          <t>-</t>
        </is>
      </c>
      <c r="F36" s="133" t="n"/>
      <c r="G36" s="133" t="n"/>
    </row>
    <row r="37" ht="12" customHeight="1" s="240">
      <c r="A37" s="140" t="inlineStr">
        <is>
          <t>Extraord. Item &amp; Account. Change</t>
        </is>
      </c>
      <c r="B37" s="141" t="inlineStr">
        <is>
          <t>-</t>
        </is>
      </c>
      <c r="C37" s="141" t="inlineStr">
        <is>
          <t>-</t>
        </is>
      </c>
      <c r="D37" s="141" t="inlineStr">
        <is>
          <t>-</t>
        </is>
      </c>
      <c r="E37" s="141" t="inlineStr">
        <is>
          <t>-</t>
        </is>
      </c>
      <c r="F37" s="133" t="n"/>
      <c r="G37" s="133" t="n"/>
    </row>
    <row r="38">
      <c r="A38" s="139" t="inlineStr">
        <is>
          <t xml:space="preserve">  Net Income to Company</t>
        </is>
      </c>
      <c r="B38" s="142" t="n">
        <v>-117</v>
      </c>
      <c r="C38" s="142" t="n">
        <v>-90.59999999999999</v>
      </c>
      <c r="D38" s="142" t="n">
        <v>-96.40000000000001</v>
      </c>
      <c r="E38" s="142" t="n">
        <v>-98.5</v>
      </c>
      <c r="F38" s="133" t="n"/>
      <c r="G38" s="133" t="n"/>
    </row>
    <row r="39">
      <c r="A39" s="140" t="n"/>
      <c r="B39" s="140" t="n"/>
      <c r="C39" s="140" t="n"/>
      <c r="D39" s="140" t="n"/>
      <c r="E39" s="140" t="n"/>
      <c r="F39" s="133" t="n"/>
      <c r="G39" s="133" t="n"/>
    </row>
    <row r="40" ht="12" customHeight="1" s="240">
      <c r="A40" s="140" t="inlineStr">
        <is>
          <t>Minority Int. in Earnings</t>
        </is>
      </c>
      <c r="B40" s="141" t="n">
        <v>0.278</v>
      </c>
      <c r="C40" s="141" t="n">
        <v>0.271</v>
      </c>
      <c r="D40" s="141" t="inlineStr">
        <is>
          <t>-</t>
        </is>
      </c>
      <c r="E40" s="141" t="inlineStr">
        <is>
          <t>-</t>
        </is>
      </c>
      <c r="F40" s="133" t="n"/>
      <c r="G40" s="133" t="n"/>
    </row>
    <row r="41">
      <c r="A41" s="139" t="inlineStr">
        <is>
          <t xml:space="preserve">  Net Income</t>
        </is>
      </c>
      <c r="B41" s="144" t="n">
        <v>-116.7</v>
      </c>
      <c r="C41" s="144" t="n">
        <v>-90.3</v>
      </c>
      <c r="D41" s="144" t="n">
        <v>-96.40000000000001</v>
      </c>
      <c r="E41" s="144" t="n">
        <v>-98.5</v>
      </c>
      <c r="F41" s="133" t="n"/>
      <c r="G41" s="133" t="n"/>
    </row>
    <row r="42">
      <c r="A42" s="140" t="n"/>
      <c r="B42" s="140" t="n"/>
      <c r="C42" s="140" t="n"/>
      <c r="D42" s="140" t="n"/>
      <c r="E42" s="140" t="n"/>
      <c r="F42" s="133" t="n"/>
      <c r="G42" s="133" t="n"/>
    </row>
    <row r="43" ht="12" customHeight="1" s="240">
      <c r="A43" s="140" t="inlineStr">
        <is>
          <t>Pref. Dividends and Other Adj.</t>
        </is>
      </c>
      <c r="B43" s="141" t="inlineStr">
        <is>
          <t>-</t>
        </is>
      </c>
      <c r="C43" s="141" t="inlineStr">
        <is>
          <t>-</t>
        </is>
      </c>
      <c r="D43" s="141" t="inlineStr">
        <is>
          <t>-</t>
        </is>
      </c>
      <c r="E43" s="141" t="inlineStr">
        <is>
          <t>-</t>
        </is>
      </c>
      <c r="F43" s="133" t="n"/>
      <c r="G43" s="133" t="n"/>
    </row>
    <row r="44">
      <c r="A44" s="140" t="n"/>
      <c r="B44" s="140" t="n"/>
      <c r="C44" s="140" t="n"/>
      <c r="D44" s="140" t="n"/>
      <c r="E44" s="140" t="n"/>
      <c r="F44" s="133" t="n"/>
      <c r="G44" s="133" t="n"/>
    </row>
    <row r="45">
      <c r="A45" s="139" t="inlineStr">
        <is>
          <t xml:space="preserve">  NI to Common Incl Extra Items</t>
        </is>
      </c>
      <c r="B45" s="143" t="n">
        <v>-116.7</v>
      </c>
      <c r="C45" s="143" t="n">
        <v>-90.3</v>
      </c>
      <c r="D45" s="143" t="n">
        <v>-96.40000000000001</v>
      </c>
      <c r="E45" s="143" t="n">
        <v>-98.5</v>
      </c>
      <c r="F45" s="133" t="n"/>
      <c r="G45" s="133" t="n"/>
    </row>
    <row r="46">
      <c r="A46" s="139" t="inlineStr">
        <is>
          <t xml:space="preserve">  NI to Common Excl. Extra Items</t>
        </is>
      </c>
      <c r="B46" s="143" t="n">
        <v>-116.7</v>
      </c>
      <c r="C46" s="143" t="n">
        <v>-90.3</v>
      </c>
      <c r="D46" s="143" t="n">
        <v>-96.40000000000001</v>
      </c>
      <c r="E46" s="143" t="n">
        <v>-98.5</v>
      </c>
      <c r="F46" s="133" t="n"/>
      <c r="G46" s="133" t="n"/>
    </row>
    <row r="47">
      <c r="A47" s="140" t="n"/>
      <c r="B47" s="140" t="n"/>
      <c r="C47" s="140" t="n"/>
      <c r="D47" s="140" t="n"/>
      <c r="E47" s="140" t="n"/>
      <c r="F47" s="133" t="n"/>
      <c r="G47" s="133" t="n"/>
    </row>
    <row r="48">
      <c r="A48" s="139" t="inlineStr">
        <is>
          <t>Per Share Items</t>
        </is>
      </c>
      <c r="B48" s="140" t="n"/>
      <c r="C48" s="140" t="n"/>
      <c r="D48" s="140" t="n"/>
      <c r="E48" s="140" t="n"/>
      <c r="F48" s="133" t="n"/>
      <c r="G48" s="133" t="n"/>
    </row>
    <row r="49">
      <c r="A49" s="140" t="inlineStr">
        <is>
          <t>Basic EPS</t>
        </is>
      </c>
      <c r="B49" s="270" t="n">
        <v>-9.6</v>
      </c>
      <c r="C49" s="270" t="n">
        <v>-7.21</v>
      </c>
      <c r="D49" s="270" t="n">
        <v>-2.92</v>
      </c>
      <c r="E49" s="270" t="n">
        <v>-1.47</v>
      </c>
      <c r="F49" s="133" t="n"/>
      <c r="G49" s="133" t="n"/>
    </row>
    <row r="50">
      <c r="A50" s="140" t="inlineStr">
        <is>
          <t>Basic EPS Excl. Extra Items</t>
        </is>
      </c>
      <c r="B50" s="271" t="n">
        <v>-9.6</v>
      </c>
      <c r="C50" s="271" t="n">
        <v>-7.21</v>
      </c>
      <c r="D50" s="271" t="n">
        <v>-2.92</v>
      </c>
      <c r="E50" s="271" t="n">
        <v>-1.47</v>
      </c>
      <c r="F50" s="133" t="n"/>
      <c r="G50" s="133" t="n"/>
    </row>
    <row r="51">
      <c r="A51" s="140" t="inlineStr">
        <is>
          <t>Weighted Avg. Basic Shares Out.</t>
        </is>
      </c>
      <c r="B51" s="141" t="n">
        <v>12.15567</v>
      </c>
      <c r="C51" s="141" t="n">
        <v>12.525706</v>
      </c>
      <c r="D51" s="141" t="n">
        <v>32.949511</v>
      </c>
      <c r="E51" s="141" t="n">
        <v>67.181601</v>
      </c>
      <c r="F51" s="133" t="n"/>
      <c r="G51" s="133" t="n"/>
    </row>
    <row r="52">
      <c r="A52" s="140" t="n"/>
      <c r="B52" s="140" t="n"/>
      <c r="C52" s="140" t="n"/>
      <c r="D52" s="140" t="n"/>
      <c r="E52" s="140" t="n"/>
      <c r="F52" s="133" t="n"/>
      <c r="G52" s="133" t="n"/>
    </row>
    <row r="53">
      <c r="A53" s="140" t="inlineStr">
        <is>
          <t>Diluted EPS</t>
        </is>
      </c>
      <c r="B53" s="270" t="n">
        <v>-9.6</v>
      </c>
      <c r="C53" s="270" t="n">
        <v>-7.21</v>
      </c>
      <c r="D53" s="270" t="n">
        <v>-2.92</v>
      </c>
      <c r="E53" s="270" t="n">
        <v>-1.47</v>
      </c>
      <c r="F53" s="133" t="n"/>
      <c r="G53" s="133" t="n"/>
    </row>
    <row r="54">
      <c r="A54" s="140" t="inlineStr">
        <is>
          <t>Diluted EPS Excl. Extra Items</t>
        </is>
      </c>
      <c r="B54" s="271" t="n">
        <v>-9.6</v>
      </c>
      <c r="C54" s="271" t="n">
        <v>-7.21</v>
      </c>
      <c r="D54" s="271" t="n">
        <v>-2.92</v>
      </c>
      <c r="E54" s="271" t="n">
        <v>-1.47</v>
      </c>
      <c r="F54" s="133" t="n"/>
      <c r="G54" s="133" t="n"/>
    </row>
    <row r="55">
      <c r="A55" s="140" t="inlineStr">
        <is>
          <t>Weighted Avg. Diluted Shares Out.</t>
        </is>
      </c>
      <c r="B55" s="141" t="n">
        <v>12.15567</v>
      </c>
      <c r="C55" s="141" t="n">
        <v>12.525706</v>
      </c>
      <c r="D55" s="141" t="n">
        <v>32.949511</v>
      </c>
      <c r="E55" s="141" t="n">
        <v>67.181601</v>
      </c>
      <c r="F55" s="133" t="n"/>
      <c r="G55" s="133" t="n"/>
    </row>
    <row r="56">
      <c r="A56" s="140" t="n"/>
      <c r="B56" s="140" t="n"/>
      <c r="C56" s="140" t="n"/>
      <c r="D56" s="140" t="n"/>
      <c r="E56" s="140" t="n"/>
      <c r="F56" s="133" t="n"/>
      <c r="G56" s="133" t="n"/>
    </row>
    <row r="57">
      <c r="A57" s="140" t="inlineStr">
        <is>
          <t>Normalized Basic EPS</t>
        </is>
      </c>
      <c r="B57" s="270" t="n">
        <v>-5.9</v>
      </c>
      <c r="C57" s="270" t="n">
        <v>-4.5</v>
      </c>
      <c r="D57" s="270" t="n">
        <v>-1.62</v>
      </c>
      <c r="E57" s="270" t="n">
        <v>-0.82</v>
      </c>
      <c r="F57" s="133" t="n"/>
      <c r="G57" s="133" t="n"/>
    </row>
    <row r="58">
      <c r="A58" s="140" t="inlineStr">
        <is>
          <t>Normalized Diluted EPS</t>
        </is>
      </c>
      <c r="B58" s="271" t="n">
        <v>-5.9</v>
      </c>
      <c r="C58" s="271" t="n">
        <v>-4.5</v>
      </c>
      <c r="D58" s="271" t="n">
        <v>-1.62</v>
      </c>
      <c r="E58" s="271" t="n">
        <v>-0.82</v>
      </c>
      <c r="F58" s="133" t="n"/>
      <c r="G58" s="133" t="n"/>
    </row>
    <row r="59">
      <c r="A59" s="140" t="n"/>
      <c r="B59" s="140" t="n"/>
      <c r="C59" s="140" t="n"/>
      <c r="D59" s="140" t="n"/>
      <c r="E59" s="140" t="n"/>
      <c r="F59" s="133" t="n"/>
      <c r="G59" s="133" t="n"/>
    </row>
    <row r="60" ht="12" customHeight="1" s="240">
      <c r="A60" s="140" t="inlineStr">
        <is>
          <t>Dividends per Share</t>
        </is>
      </c>
      <c r="B60" s="271" t="inlineStr">
        <is>
          <t>NA</t>
        </is>
      </c>
      <c r="C60" s="271" t="inlineStr">
        <is>
          <t>NA</t>
        </is>
      </c>
      <c r="D60" s="271" t="inlineStr">
        <is>
          <t>NA</t>
        </is>
      </c>
      <c r="E60" s="271" t="inlineStr">
        <is>
          <t>NA</t>
        </is>
      </c>
      <c r="F60" s="133" t="n"/>
      <c r="G60" s="133" t="n"/>
    </row>
    <row r="61">
      <c r="A61" s="140" t="n"/>
      <c r="B61" s="140" t="n"/>
      <c r="C61" s="140" t="n"/>
      <c r="D61" s="140" t="n"/>
      <c r="E61" s="140" t="n"/>
      <c r="F61" s="133" t="n"/>
      <c r="G61" s="133" t="n"/>
    </row>
    <row r="62">
      <c r="A62" s="139" t="inlineStr">
        <is>
          <t>Supplemental Items</t>
        </is>
      </c>
      <c r="B62" s="140" t="n"/>
      <c r="C62" s="140" t="n"/>
      <c r="D62" s="140" t="n"/>
      <c r="E62" s="140" t="n"/>
      <c r="F62" s="133" t="n"/>
      <c r="G62" s="133" t="n"/>
    </row>
    <row r="63">
      <c r="A63" s="140" t="inlineStr">
        <is>
          <t>EBITDA</t>
        </is>
      </c>
      <c r="B63" s="141" t="n">
        <v>-106.4</v>
      </c>
      <c r="C63" s="141" t="n">
        <v>-74.8</v>
      </c>
      <c r="D63" s="141" t="n">
        <v>-68.09999999999999</v>
      </c>
      <c r="E63" s="141" t="n">
        <v>-79.7</v>
      </c>
      <c r="F63" s="133" t="n"/>
      <c r="G63" s="133" t="n"/>
    </row>
    <row r="64">
      <c r="A64" s="140" t="inlineStr">
        <is>
          <t>EBITA</t>
        </is>
      </c>
      <c r="B64" s="141" t="n">
        <v>-109.5</v>
      </c>
      <c r="C64" s="141" t="n">
        <v>-78.3</v>
      </c>
      <c r="D64" s="141" t="n">
        <v>-72</v>
      </c>
      <c r="E64" s="141" t="n">
        <v>-83.59999999999999</v>
      </c>
      <c r="F64" s="133" t="n"/>
      <c r="G64" s="133" t="n"/>
    </row>
    <row r="65">
      <c r="A65" s="140" t="inlineStr">
        <is>
          <t>EBIT</t>
        </is>
      </c>
      <c r="B65" s="141" t="n">
        <v>-114.5</v>
      </c>
      <c r="C65" s="141" t="n">
        <v>-83.90000000000001</v>
      </c>
      <c r="D65" s="141" t="n">
        <v>-76.59999999999999</v>
      </c>
      <c r="E65" s="141" t="n">
        <v>-88.59999999999999</v>
      </c>
      <c r="F65" s="133" t="n"/>
      <c r="G65" s="133" t="n"/>
    </row>
    <row r="66" ht="12" customHeight="1" s="240">
      <c r="A66" s="140" t="inlineStr">
        <is>
          <t>EBITDAR</t>
        </is>
      </c>
      <c r="B66" s="141" t="n">
        <v>-100.1</v>
      </c>
      <c r="C66" s="141" t="n">
        <v>-65.90000000000001</v>
      </c>
      <c r="D66" s="141" t="n">
        <v>-56.7</v>
      </c>
      <c r="E66" s="141" t="inlineStr">
        <is>
          <t>NA</t>
        </is>
      </c>
      <c r="F66" s="133" t="n"/>
      <c r="G66" s="133" t="n"/>
    </row>
    <row r="67" ht="12" customHeight="1" s="240">
      <c r="A67" s="140" t="inlineStr">
        <is>
          <t>Effective Tax Rate %</t>
        </is>
      </c>
      <c r="B67" s="147" t="inlineStr">
        <is>
          <t>NM</t>
        </is>
      </c>
      <c r="C67" s="147" t="inlineStr">
        <is>
          <t>NM</t>
        </is>
      </c>
      <c r="D67" s="147" t="inlineStr">
        <is>
          <t>NM</t>
        </is>
      </c>
      <c r="E67" s="147" t="inlineStr">
        <is>
          <t>NM</t>
        </is>
      </c>
      <c r="F67" s="133" t="n"/>
      <c r="G67" s="133" t="n"/>
    </row>
    <row r="68">
      <c r="A68" s="140" t="inlineStr">
        <is>
          <t>Current Domestic Taxes</t>
        </is>
      </c>
      <c r="B68" s="141" t="n">
        <v>0.148</v>
      </c>
      <c r="C68" s="141" t="n">
        <v>0.169</v>
      </c>
      <c r="D68" s="141" t="n">
        <v>0.243</v>
      </c>
      <c r="E68" s="141" t="n">
        <v>0.243</v>
      </c>
      <c r="F68" s="133" t="n"/>
      <c r="G68" s="133" t="n"/>
    </row>
    <row r="69">
      <c r="A69" s="140" t="inlineStr">
        <is>
          <t>Current Foreign Taxes</t>
        </is>
      </c>
      <c r="B69" s="141" t="n">
        <v>1.5</v>
      </c>
      <c r="C69" s="141" t="n">
        <v>1.499</v>
      </c>
      <c r="D69" s="141" t="n">
        <v>1.685</v>
      </c>
      <c r="E69" s="141" t="n">
        <v>1.685</v>
      </c>
      <c r="F69" s="133" t="n"/>
      <c r="G69" s="133" t="n"/>
    </row>
    <row r="70">
      <c r="A70" s="140" t="inlineStr">
        <is>
          <t>Total Current Taxes</t>
        </is>
      </c>
      <c r="B70" s="141" t="n">
        <v>1.648</v>
      </c>
      <c r="C70" s="141" t="n">
        <v>1.668</v>
      </c>
      <c r="D70" s="141" t="n">
        <v>1.928</v>
      </c>
      <c r="E70" s="141" t="n">
        <v>1.928</v>
      </c>
      <c r="F70" s="133" t="n"/>
      <c r="G70" s="133" t="n"/>
    </row>
    <row r="71">
      <c r="A71" s="140" t="inlineStr">
        <is>
          <t>Deferred Foreign Taxes</t>
        </is>
      </c>
      <c r="B71" s="141" t="n">
        <v>0.167</v>
      </c>
      <c r="C71" s="141" t="n">
        <v>0.222</v>
      </c>
      <c r="D71" s="141" t="n">
        <v>0.593</v>
      </c>
      <c r="E71" s="141" t="n">
        <v>0.593</v>
      </c>
      <c r="F71" s="133" t="n"/>
      <c r="G71" s="133" t="n"/>
    </row>
    <row r="72">
      <c r="A72" s="140" t="inlineStr">
        <is>
          <t>Total Deferred Taxes</t>
        </is>
      </c>
      <c r="B72" s="141" t="n">
        <v>0.167</v>
      </c>
      <c r="C72" s="141" t="n">
        <v>0.222</v>
      </c>
      <c r="D72" s="141" t="n">
        <v>0.593</v>
      </c>
      <c r="E72" s="141" t="n">
        <v>0.593</v>
      </c>
      <c r="F72" s="133" t="n"/>
      <c r="G72" s="133" t="n"/>
    </row>
    <row r="73">
      <c r="A73" s="140" t="n"/>
      <c r="B73" s="140" t="n"/>
      <c r="C73" s="140" t="n"/>
      <c r="D73" s="140" t="n"/>
      <c r="E73" s="140" t="n"/>
      <c r="F73" s="133" t="n"/>
      <c r="G73" s="133" t="n"/>
    </row>
    <row r="74">
      <c r="A74" s="140" t="inlineStr">
        <is>
          <t>Normalized Net Income</t>
        </is>
      </c>
      <c r="B74" s="141" t="n">
        <v>-71.7</v>
      </c>
      <c r="C74" s="141" t="n">
        <v>-56.3</v>
      </c>
      <c r="D74" s="141" t="n">
        <v>-53.4</v>
      </c>
      <c r="E74" s="141" t="n">
        <v>-55.3</v>
      </c>
      <c r="F74" s="133" t="n"/>
      <c r="G74" s="133" t="n"/>
    </row>
    <row r="75" ht="12" customHeight="1" s="240">
      <c r="A75" s="140" t="inlineStr">
        <is>
          <t>Interest on Long Term Debt</t>
        </is>
      </c>
      <c r="B75" s="141" t="inlineStr">
        <is>
          <t>NA</t>
        </is>
      </c>
      <c r="C75" s="141" t="n">
        <v>3.2</v>
      </c>
      <c r="D75" s="141" t="n">
        <v>4.6</v>
      </c>
      <c r="E75" s="141" t="inlineStr">
        <is>
          <t>NA</t>
        </is>
      </c>
      <c r="F75" s="133" t="n"/>
      <c r="G75" s="133" t="n"/>
    </row>
    <row r="76">
      <c r="A76" s="140" t="inlineStr">
        <is>
          <t>Filing Date</t>
        </is>
      </c>
      <c r="B76" s="272" t="n">
        <v>46087</v>
      </c>
      <c r="C76" s="272" t="n">
        <v>46087</v>
      </c>
      <c r="D76" s="272" t="n">
        <v>46087</v>
      </c>
      <c r="E76" s="272" t="n">
        <v>46240</v>
      </c>
      <c r="F76" s="133" t="n"/>
      <c r="G76" s="133" t="n"/>
    </row>
    <row r="77" ht="12" customHeight="1" s="240">
      <c r="A77" s="140" t="inlineStr">
        <is>
          <t>Restatement Type</t>
        </is>
      </c>
      <c r="B77" s="149" t="inlineStr">
        <is>
          <t>NC</t>
        </is>
      </c>
      <c r="C77" s="149" t="inlineStr">
        <is>
          <t>NC</t>
        </is>
      </c>
      <c r="D77" s="149" t="inlineStr">
        <is>
          <t>O</t>
        </is>
      </c>
      <c r="E77" s="149" t="inlineStr">
        <is>
          <t>O</t>
        </is>
      </c>
      <c r="F77" s="133" t="n"/>
      <c r="G77" s="133" t="n"/>
    </row>
    <row r="78" ht="12" customHeight="1" s="240">
      <c r="A78" s="140" t="inlineStr">
        <is>
          <t>Calculation Type</t>
        </is>
      </c>
      <c r="B78" s="149" t="inlineStr">
        <is>
          <t>REP</t>
        </is>
      </c>
      <c r="C78" s="149" t="inlineStr">
        <is>
          <t>REP</t>
        </is>
      </c>
      <c r="D78" s="149" t="inlineStr">
        <is>
          <t>REP</t>
        </is>
      </c>
      <c r="E78" s="149" t="inlineStr">
        <is>
          <t>LTM</t>
        </is>
      </c>
      <c r="F78" s="133" t="n"/>
      <c r="G78" s="133" t="n"/>
    </row>
    <row r="79">
      <c r="A79" s="140" t="n"/>
      <c r="B79" s="140" t="n"/>
      <c r="C79" s="140" t="n"/>
      <c r="D79" s="140" t="n"/>
      <c r="E79" s="140" t="n"/>
      <c r="F79" s="133" t="n"/>
      <c r="G79" s="133" t="n"/>
    </row>
    <row r="80">
      <c r="A80" s="139" t="inlineStr">
        <is>
          <t>Supplemental Operating Expense Items</t>
        </is>
      </c>
      <c r="B80" s="140" t="n"/>
      <c r="C80" s="140" t="n"/>
      <c r="D80" s="140" t="n"/>
      <c r="E80" s="140" t="n"/>
      <c r="F80" s="133" t="n"/>
      <c r="G80" s="133" t="n"/>
    </row>
    <row r="81" ht="12" customHeight="1" s="240">
      <c r="A81" s="140" t="inlineStr">
        <is>
          <t>Advertising Exp.</t>
        </is>
      </c>
      <c r="B81" s="141" t="n">
        <v>4.6</v>
      </c>
      <c r="C81" s="141" t="n">
        <v>5.2</v>
      </c>
      <c r="D81" s="141" t="n">
        <v>8.800000000000001</v>
      </c>
      <c r="E81" s="141" t="inlineStr">
        <is>
          <t>NA</t>
        </is>
      </c>
      <c r="F81" s="133" t="n"/>
      <c r="G81" s="133" t="n"/>
    </row>
    <row r="82">
      <c r="A82" s="140" t="inlineStr">
        <is>
          <t>Selling and Marketing Exp.</t>
        </is>
      </c>
      <c r="B82" s="141" t="n">
        <v>53.799</v>
      </c>
      <c r="C82" s="141" t="n">
        <v>55.484</v>
      </c>
      <c r="D82" s="141" t="n">
        <v>67.20399999999999</v>
      </c>
      <c r="E82" s="141" t="n">
        <v>77.661</v>
      </c>
      <c r="F82" s="133" t="n"/>
      <c r="G82" s="133" t="n"/>
    </row>
    <row r="83">
      <c r="A83" s="140" t="inlineStr">
        <is>
          <t>General and Administrative Exp.</t>
        </is>
      </c>
      <c r="B83" s="141" t="n">
        <v>64.23099999999999</v>
      </c>
      <c r="C83" s="141" t="n">
        <v>70.265</v>
      </c>
      <c r="D83" s="141" t="n">
        <v>88.001</v>
      </c>
      <c r="E83" s="141" t="n">
        <v>106.895</v>
      </c>
      <c r="F83" s="133" t="n"/>
      <c r="G83" s="133" t="n"/>
    </row>
    <row r="84">
      <c r="A84" s="140" t="inlineStr">
        <is>
          <t>R&amp;D Exp.</t>
        </is>
      </c>
      <c r="B84" s="141" t="n">
        <v>95.833</v>
      </c>
      <c r="C84" s="141" t="n">
        <v>88.98699999999999</v>
      </c>
      <c r="D84" s="141" t="n">
        <v>92.352</v>
      </c>
      <c r="E84" s="141" t="n">
        <v>98.905</v>
      </c>
      <c r="F84" s="133" t="n"/>
      <c r="G84" s="133" t="n"/>
    </row>
    <row r="85" ht="12" customHeight="1" s="240">
      <c r="A85" s="140" t="inlineStr">
        <is>
          <t>Net Rental Exp.</t>
        </is>
      </c>
      <c r="B85" s="141" t="n">
        <v>6.316</v>
      </c>
      <c r="C85" s="141" t="n">
        <v>8.866</v>
      </c>
      <c r="D85" s="141" t="n">
        <v>11.386</v>
      </c>
      <c r="E85" s="141" t="inlineStr">
        <is>
          <t>NA</t>
        </is>
      </c>
      <c r="F85" s="133" t="n"/>
      <c r="G85" s="133" t="n"/>
    </row>
    <row r="86" ht="12" customHeight="1" s="240">
      <c r="A86" s="140" t="inlineStr">
        <is>
          <t>Imputed Oper. Lease Interest Exp.</t>
        </is>
      </c>
      <c r="B86" s="141" t="inlineStr">
        <is>
          <t>-</t>
        </is>
      </c>
      <c r="C86" s="141" t="n">
        <v>6.060656</v>
      </c>
      <c r="D86" s="141" t="n">
        <v>13.149282</v>
      </c>
      <c r="E86" s="141" t="inlineStr">
        <is>
          <t>-</t>
        </is>
      </c>
      <c r="F86" s="133" t="n"/>
      <c r="G86" s="133" t="n"/>
    </row>
    <row r="87" ht="12" customHeight="1" s="240">
      <c r="A87" s="140" t="inlineStr">
        <is>
          <t>Imputed Oper. Lease Depreciation</t>
        </is>
      </c>
      <c r="B87" s="141" t="inlineStr">
        <is>
          <t>-</t>
        </is>
      </c>
      <c r="C87" s="141" t="n">
        <v>2.805344</v>
      </c>
      <c r="D87" s="141" t="n">
        <v>-1.8</v>
      </c>
      <c r="E87" s="141" t="inlineStr">
        <is>
          <t>-</t>
        </is>
      </c>
      <c r="F87" s="133" t="n"/>
      <c r="G87" s="133" t="n"/>
    </row>
    <row r="88">
      <c r="A88" s="140" t="n"/>
      <c r="B88" s="140" t="n"/>
      <c r="C88" s="140" t="n"/>
      <c r="D88" s="140" t="n"/>
      <c r="E88" s="140" t="n"/>
      <c r="F88" s="133" t="n"/>
      <c r="G88" s="133" t="n"/>
    </row>
    <row r="89">
      <c r="A89" s="140" t="inlineStr">
        <is>
          <t>Stock-Based Comp., COGS</t>
        </is>
      </c>
      <c r="B89" s="141" t="n">
        <v>0.185</v>
      </c>
      <c r="C89" s="141" t="n">
        <v>0.227</v>
      </c>
      <c r="D89" s="141" t="n">
        <v>0.2</v>
      </c>
      <c r="E89" s="141" t="n">
        <v>0.267</v>
      </c>
      <c r="F89" s="133" t="n"/>
      <c r="G89" s="133" t="n"/>
    </row>
    <row r="90">
      <c r="A90" s="140" t="inlineStr">
        <is>
          <t>Stock-Based Comp., R&amp;D Exp.</t>
        </is>
      </c>
      <c r="B90" s="141" t="n">
        <v>4.959</v>
      </c>
      <c r="C90" s="141" t="n">
        <v>6.583</v>
      </c>
      <c r="D90" s="141" t="n">
        <v>8.577</v>
      </c>
      <c r="E90" s="141" t="n">
        <v>13.746</v>
      </c>
      <c r="F90" s="133" t="n"/>
      <c r="G90" s="133" t="n"/>
    </row>
    <row r="91">
      <c r="A91" s="140" t="inlineStr">
        <is>
          <t>Stock-Based Comp., S&amp;M Exp.</t>
        </is>
      </c>
      <c r="B91" s="141" t="n">
        <v>3.134</v>
      </c>
      <c r="C91" s="141" t="n">
        <v>4.023</v>
      </c>
      <c r="D91" s="141" t="n">
        <v>7.121</v>
      </c>
      <c r="E91" s="141" t="n">
        <v>11.533</v>
      </c>
      <c r="F91" s="133" t="n"/>
      <c r="G91" s="133" t="n"/>
    </row>
    <row r="92">
      <c r="A92" s="140" t="inlineStr">
        <is>
          <t>Stock-Based Comp., G&amp;A Exp.</t>
        </is>
      </c>
      <c r="B92" s="141" t="n">
        <v>4.848</v>
      </c>
      <c r="C92" s="141" t="n">
        <v>10.393</v>
      </c>
      <c r="D92" s="141" t="n">
        <v>14.443</v>
      </c>
      <c r="E92" s="141" t="n">
        <v>27.016</v>
      </c>
      <c r="F92" s="133" t="n"/>
      <c r="G92" s="133" t="n"/>
    </row>
    <row r="93">
      <c r="A93" s="139" t="inlineStr">
        <is>
          <t xml:space="preserve">  Stock-Based Comp., Total</t>
        </is>
      </c>
      <c r="B93" s="143" t="n">
        <v>13.126</v>
      </c>
      <c r="C93" s="143" t="n">
        <v>21.226</v>
      </c>
      <c r="D93" s="143" t="n">
        <v>30.341</v>
      </c>
      <c r="E93" s="143" t="n">
        <v>52.562</v>
      </c>
      <c r="F93" s="133" t="n"/>
      <c r="G93" s="133" t="n"/>
    </row>
    <row r="94">
      <c r="A94" s="140" t="n"/>
      <c r="B94" s="140" t="n"/>
      <c r="C94" s="140" t="n"/>
      <c r="D94" s="140" t="n"/>
      <c r="E94" s="140" t="n"/>
      <c r="F94" s="133" t="n"/>
      <c r="G94" s="133" t="n"/>
    </row>
    <row r="95">
      <c r="A95" s="150" t="n"/>
      <c r="B95" s="150" t="n"/>
      <c r="C95" s="150" t="n"/>
      <c r="D95" s="150" t="n"/>
      <c r="E95" s="150" t="n"/>
      <c r="F95" s="133" t="n"/>
      <c r="G95" s="133" t="n"/>
    </row>
    <row r="96">
      <c r="A96" s="133" t="inlineStr">
        <is>
          <t>Note: For multiple class companies, per share items are primary class equivalent, and for foreign companies listed as primary ADRs, per share items are ADR-equivalent.</t>
        </is>
      </c>
      <c r="B96" s="133" t="n"/>
      <c r="C96" s="133" t="n"/>
      <c r="D96" s="133" t="n"/>
      <c r="E96" s="133" t="n"/>
      <c r="F96" s="133" t="n"/>
      <c r="G96" s="133" t="n"/>
    </row>
    <row r="97">
      <c r="A97" s="151" t="inlineStr"/>
      <c r="B97" s="133" t="n"/>
      <c r="C97" s="133" t="n"/>
      <c r="D97" s="133" t="n"/>
      <c r="E97" s="133" t="n"/>
      <c r="F97" s="133" t="n"/>
      <c r="G97" s="133" t="n"/>
    </row>
    <row r="98">
      <c r="A98" s="133" t="n"/>
      <c r="B98" s="133" t="n"/>
      <c r="C98" s="133" t="n"/>
      <c r="D98" s="133" t="n"/>
      <c r="E98" s="133" t="n"/>
      <c r="F98" s="133" t="n"/>
      <c r="G98" s="133" t="n"/>
    </row>
    <row r="99">
      <c r="A99" s="133" t="n"/>
      <c r="B99" s="133" t="n"/>
      <c r="C99" s="133" t="n"/>
      <c r="D99" s="133" t="n"/>
      <c r="E99" s="133" t="n"/>
      <c r="F99" s="133" t="n"/>
      <c r="G99" s="133" t="n"/>
    </row>
    <row r="100">
      <c r="A100" s="133" t="n"/>
      <c r="B100" s="133" t="n"/>
      <c r="C100" s="133" t="n"/>
      <c r="D100" s="133" t="n"/>
      <c r="E100" s="133" t="n"/>
      <c r="F100" s="133" t="n"/>
      <c r="G100" s="133" t="n"/>
    </row>
    <row r="101">
      <c r="A101" s="133" t="n"/>
      <c r="B101" s="133" t="n"/>
      <c r="C101" s="133" t="n"/>
      <c r="D101" s="133" t="n"/>
      <c r="E101" s="133" t="n"/>
      <c r="F101" s="133" t="n"/>
      <c r="G101" s="133" t="n"/>
    </row>
    <row r="102">
      <c r="A102" s="133" t="n"/>
      <c r="B102" s="133" t="n"/>
      <c r="C102" s="133" t="n"/>
      <c r="D102" s="133" t="n"/>
      <c r="E102" s="133" t="n"/>
      <c r="F102" s="133" t="n"/>
      <c r="G102" s="133" t="n"/>
    </row>
    <row r="103">
      <c r="A103" s="133" t="n"/>
      <c r="B103" s="133" t="n"/>
      <c r="C103" s="133" t="n"/>
      <c r="D103" s="133" t="n"/>
      <c r="E103" s="133" t="n"/>
      <c r="F103" s="133" t="n"/>
      <c r="G103" s="133" t="n"/>
    </row>
    <row r="104">
      <c r="A104" s="133" t="n"/>
      <c r="B104" s="133" t="n"/>
      <c r="C104" s="133" t="n"/>
      <c r="D104" s="133" t="n"/>
      <c r="E104" s="133" t="n"/>
      <c r="F104" s="133" t="n"/>
      <c r="G104" s="133" t="n"/>
    </row>
    <row r="105">
      <c r="A105" s="133" t="n"/>
      <c r="B105" s="133" t="n"/>
      <c r="C105" s="133" t="n"/>
      <c r="D105" s="133" t="n"/>
      <c r="E105" s="133" t="n"/>
      <c r="F105" s="133" t="n"/>
      <c r="G105" s="133" t="n"/>
    </row>
  </sheetData>
  <pageMargins left="0.2" right="0.2" top="0.5" bottom="0.5" header="0.5" footer="0.5"/>
  <pageSetup orientation="landscape" fitToHeight="0" fitToWidth="0" horizontalDpi="0" verticalDpi="0"/>
</worksheet>
</file>

<file path=xl/worksheets/sheet7.xml><?xml version="1.0" encoding="utf-8"?>
<worksheet xmlns="http://schemas.openxmlformats.org/spreadsheetml/2006/main">
  <sheetPr>
    <outlinePr summaryBelow="0" summaryRight="0"/>
    <pageSetUpPr autoPageBreaks="0"/>
  </sheetPr>
  <dimension ref="A5:IU100"/>
  <sheetViews>
    <sheetView topLeftCell="A28" workbookViewId="0">
      <selection activeCell="A1" sqref="A1"/>
    </sheetView>
  </sheetViews>
  <sheetFormatPr baseColWidth="10" defaultColWidth="8.83203125" defaultRowHeight="11"/>
  <cols>
    <col width="45.83203125" customWidth="1" style="104" min="1" max="1"/>
    <col width="14.83203125" customWidth="1" style="104" min="2" max="8"/>
    <col width="8.83203125" customWidth="1" style="104" min="9" max="256"/>
    <col width="45.83203125" customWidth="1" style="104" min="257" max="257"/>
    <col width="14.83203125" customWidth="1" style="104" min="258" max="264"/>
    <col width="8.83203125" customWidth="1" style="104" min="265" max="512"/>
    <col width="45.83203125" customWidth="1" style="104" min="513" max="513"/>
    <col width="14.83203125" customWidth="1" style="104" min="514" max="520"/>
    <col width="8.83203125" customWidth="1" style="104" min="521" max="768"/>
    <col width="45.83203125" customWidth="1" style="104" min="769" max="769"/>
    <col width="14.83203125" customWidth="1" style="104" min="770" max="776"/>
    <col width="8.83203125" customWidth="1" style="104" min="777" max="1024"/>
    <col width="45.83203125" customWidth="1" style="104" min="1025" max="1025"/>
    <col width="14.83203125" customWidth="1" style="104" min="1026" max="1032"/>
    <col width="8.83203125" customWidth="1" style="104" min="1033" max="1280"/>
    <col width="45.83203125" customWidth="1" style="104" min="1281" max="1281"/>
    <col width="14.83203125" customWidth="1" style="104" min="1282" max="1288"/>
    <col width="8.83203125" customWidth="1" style="104" min="1289" max="1536"/>
    <col width="45.83203125" customWidth="1" style="104" min="1537" max="1537"/>
    <col width="14.83203125" customWidth="1" style="104" min="1538" max="1544"/>
    <col width="8.83203125" customWidth="1" style="104" min="1545" max="1792"/>
    <col width="45.83203125" customWidth="1" style="104" min="1793" max="1793"/>
    <col width="14.83203125" customWidth="1" style="104" min="1794" max="1800"/>
    <col width="8.83203125" customWidth="1" style="104" min="1801" max="2048"/>
    <col width="45.83203125" customWidth="1" style="104" min="2049" max="2049"/>
    <col width="14.83203125" customWidth="1" style="104" min="2050" max="2056"/>
    <col width="8.83203125" customWidth="1" style="104" min="2057" max="2304"/>
    <col width="45.83203125" customWidth="1" style="104" min="2305" max="2305"/>
    <col width="14.83203125" customWidth="1" style="104" min="2306" max="2312"/>
    <col width="8.83203125" customWidth="1" style="104" min="2313" max="2560"/>
    <col width="45.83203125" customWidth="1" style="104" min="2561" max="2561"/>
    <col width="14.83203125" customWidth="1" style="104" min="2562" max="2568"/>
    <col width="8.83203125" customWidth="1" style="104" min="2569" max="2816"/>
    <col width="45.83203125" customWidth="1" style="104" min="2817" max="2817"/>
    <col width="14.83203125" customWidth="1" style="104" min="2818" max="2824"/>
    <col width="8.83203125" customWidth="1" style="104" min="2825" max="3072"/>
    <col width="45.83203125" customWidth="1" style="104" min="3073" max="3073"/>
    <col width="14.83203125" customWidth="1" style="104" min="3074" max="3080"/>
    <col width="8.83203125" customWidth="1" style="104" min="3081" max="3328"/>
    <col width="45.83203125" customWidth="1" style="104" min="3329" max="3329"/>
    <col width="14.83203125" customWidth="1" style="104" min="3330" max="3336"/>
    <col width="8.83203125" customWidth="1" style="104" min="3337" max="3584"/>
    <col width="45.83203125" customWidth="1" style="104" min="3585" max="3585"/>
    <col width="14.83203125" customWidth="1" style="104" min="3586" max="3592"/>
    <col width="8.83203125" customWidth="1" style="104" min="3593" max="3840"/>
    <col width="45.83203125" customWidth="1" style="104" min="3841" max="3841"/>
    <col width="14.83203125" customWidth="1" style="104" min="3842" max="3848"/>
    <col width="8.83203125" customWidth="1" style="104" min="3849" max="4096"/>
    <col width="45.83203125" customWidth="1" style="104" min="4097" max="4097"/>
    <col width="14.83203125" customWidth="1" style="104" min="4098" max="4104"/>
    <col width="8.83203125" customWidth="1" style="104" min="4105" max="4352"/>
    <col width="45.83203125" customWidth="1" style="104" min="4353" max="4353"/>
    <col width="14.83203125" customWidth="1" style="104" min="4354" max="4360"/>
    <col width="8.83203125" customWidth="1" style="104" min="4361" max="4608"/>
    <col width="45.83203125" customWidth="1" style="104" min="4609" max="4609"/>
    <col width="14.83203125" customWidth="1" style="104" min="4610" max="4616"/>
    <col width="8.83203125" customWidth="1" style="104" min="4617" max="4864"/>
    <col width="45.83203125" customWidth="1" style="104" min="4865" max="4865"/>
    <col width="14.83203125" customWidth="1" style="104" min="4866" max="4872"/>
    <col width="8.83203125" customWidth="1" style="104" min="4873" max="5120"/>
    <col width="45.83203125" customWidth="1" style="104" min="5121" max="5121"/>
    <col width="14.83203125" customWidth="1" style="104" min="5122" max="5128"/>
    <col width="8.83203125" customWidth="1" style="104" min="5129" max="5376"/>
    <col width="45.83203125" customWidth="1" style="104" min="5377" max="5377"/>
    <col width="14.83203125" customWidth="1" style="104" min="5378" max="5384"/>
    <col width="8.83203125" customWidth="1" style="104" min="5385" max="5632"/>
    <col width="45.83203125" customWidth="1" style="104" min="5633" max="5633"/>
    <col width="14.83203125" customWidth="1" style="104" min="5634" max="5640"/>
    <col width="8.83203125" customWidth="1" style="104" min="5641" max="5888"/>
    <col width="45.83203125" customWidth="1" style="104" min="5889" max="5889"/>
    <col width="14.83203125" customWidth="1" style="104" min="5890" max="5896"/>
    <col width="8.83203125" customWidth="1" style="104" min="5897" max="6144"/>
    <col width="45.83203125" customWidth="1" style="104" min="6145" max="6145"/>
    <col width="14.83203125" customWidth="1" style="104" min="6146" max="6152"/>
    <col width="8.83203125" customWidth="1" style="104" min="6153" max="6400"/>
    <col width="45.83203125" customWidth="1" style="104" min="6401" max="6401"/>
    <col width="14.83203125" customWidth="1" style="104" min="6402" max="6408"/>
    <col width="8.83203125" customWidth="1" style="104" min="6409" max="6656"/>
    <col width="45.83203125" customWidth="1" style="104" min="6657" max="6657"/>
    <col width="14.83203125" customWidth="1" style="104" min="6658" max="6664"/>
    <col width="8.83203125" customWidth="1" style="104" min="6665" max="6912"/>
    <col width="45.83203125" customWidth="1" style="104" min="6913" max="6913"/>
    <col width="14.83203125" customWidth="1" style="104" min="6914" max="6920"/>
    <col width="8.83203125" customWidth="1" style="104" min="6921" max="7168"/>
    <col width="45.83203125" customWidth="1" style="104" min="7169" max="7169"/>
    <col width="14.83203125" customWidth="1" style="104" min="7170" max="7176"/>
    <col width="8.83203125" customWidth="1" style="104" min="7177" max="7424"/>
    <col width="45.83203125" customWidth="1" style="104" min="7425" max="7425"/>
    <col width="14.83203125" customWidth="1" style="104" min="7426" max="7432"/>
    <col width="8.83203125" customWidth="1" style="104" min="7433" max="7680"/>
    <col width="45.83203125" customWidth="1" style="104" min="7681" max="7681"/>
    <col width="14.83203125" customWidth="1" style="104" min="7682" max="7688"/>
    <col width="8.83203125" customWidth="1" style="104" min="7689" max="7936"/>
    <col width="45.83203125" customWidth="1" style="104" min="7937" max="7937"/>
    <col width="14.83203125" customWidth="1" style="104" min="7938" max="7944"/>
    <col width="8.83203125" customWidth="1" style="104" min="7945" max="8192"/>
    <col width="45.83203125" customWidth="1" style="104" min="8193" max="8193"/>
    <col width="14.83203125" customWidth="1" style="104" min="8194" max="8200"/>
    <col width="8.83203125" customWidth="1" style="104" min="8201" max="8448"/>
    <col width="45.83203125" customWidth="1" style="104" min="8449" max="8449"/>
    <col width="14.83203125" customWidth="1" style="104" min="8450" max="8456"/>
    <col width="8.83203125" customWidth="1" style="104" min="8457" max="8704"/>
    <col width="45.83203125" customWidth="1" style="104" min="8705" max="8705"/>
    <col width="14.83203125" customWidth="1" style="104" min="8706" max="8712"/>
    <col width="8.83203125" customWidth="1" style="104" min="8713" max="8960"/>
    <col width="45.83203125" customWidth="1" style="104" min="8961" max="8961"/>
    <col width="14.83203125" customWidth="1" style="104" min="8962" max="8968"/>
    <col width="8.83203125" customWidth="1" style="104" min="8969" max="9216"/>
    <col width="45.83203125" customWidth="1" style="104" min="9217" max="9217"/>
    <col width="14.83203125" customWidth="1" style="104" min="9218" max="9224"/>
    <col width="8.83203125" customWidth="1" style="104" min="9225" max="9472"/>
    <col width="45.83203125" customWidth="1" style="104" min="9473" max="9473"/>
    <col width="14.83203125" customWidth="1" style="104" min="9474" max="9480"/>
    <col width="8.83203125" customWidth="1" style="104" min="9481" max="9728"/>
    <col width="45.83203125" customWidth="1" style="104" min="9729" max="9729"/>
    <col width="14.83203125" customWidth="1" style="104" min="9730" max="9736"/>
    <col width="8.83203125" customWidth="1" style="104" min="9737" max="9984"/>
    <col width="45.83203125" customWidth="1" style="104" min="9985" max="9985"/>
    <col width="14.83203125" customWidth="1" style="104" min="9986" max="9992"/>
    <col width="8.83203125" customWidth="1" style="104" min="9993" max="10240"/>
    <col width="45.83203125" customWidth="1" style="104" min="10241" max="10241"/>
    <col width="14.83203125" customWidth="1" style="104" min="10242" max="10248"/>
    <col width="8.83203125" customWidth="1" style="104" min="10249" max="10496"/>
    <col width="45.83203125" customWidth="1" style="104" min="10497" max="10497"/>
    <col width="14.83203125" customWidth="1" style="104" min="10498" max="10504"/>
    <col width="8.83203125" customWidth="1" style="104" min="10505" max="10752"/>
    <col width="45.83203125" customWidth="1" style="104" min="10753" max="10753"/>
    <col width="14.83203125" customWidth="1" style="104" min="10754" max="10760"/>
    <col width="8.83203125" customWidth="1" style="104" min="10761" max="11008"/>
    <col width="45.83203125" customWidth="1" style="104" min="11009" max="11009"/>
    <col width="14.83203125" customWidth="1" style="104" min="11010" max="11016"/>
    <col width="8.83203125" customWidth="1" style="104" min="11017" max="11264"/>
    <col width="45.83203125" customWidth="1" style="104" min="11265" max="11265"/>
    <col width="14.83203125" customWidth="1" style="104" min="11266" max="11272"/>
    <col width="8.83203125" customWidth="1" style="104" min="11273" max="11520"/>
    <col width="45.83203125" customWidth="1" style="104" min="11521" max="11521"/>
    <col width="14.83203125" customWidth="1" style="104" min="11522" max="11528"/>
    <col width="8.83203125" customWidth="1" style="104" min="11529" max="11776"/>
    <col width="45.83203125" customWidth="1" style="104" min="11777" max="11777"/>
    <col width="14.83203125" customWidth="1" style="104" min="11778" max="11784"/>
    <col width="8.83203125" customWidth="1" style="104" min="11785" max="12032"/>
    <col width="45.83203125" customWidth="1" style="104" min="12033" max="12033"/>
    <col width="14.83203125" customWidth="1" style="104" min="12034" max="12040"/>
    <col width="8.83203125" customWidth="1" style="104" min="12041" max="12288"/>
    <col width="45.83203125" customWidth="1" style="104" min="12289" max="12289"/>
    <col width="14.83203125" customWidth="1" style="104" min="12290" max="12296"/>
    <col width="8.83203125" customWidth="1" style="104" min="12297" max="12544"/>
    <col width="45.83203125" customWidth="1" style="104" min="12545" max="12545"/>
    <col width="14.83203125" customWidth="1" style="104" min="12546" max="12552"/>
    <col width="8.83203125" customWidth="1" style="104" min="12553" max="12800"/>
    <col width="45.83203125" customWidth="1" style="104" min="12801" max="12801"/>
    <col width="14.83203125" customWidth="1" style="104" min="12802" max="12808"/>
    <col width="8.83203125" customWidth="1" style="104" min="12809" max="13056"/>
    <col width="45.83203125" customWidth="1" style="104" min="13057" max="13057"/>
    <col width="14.83203125" customWidth="1" style="104" min="13058" max="13064"/>
    <col width="8.83203125" customWidth="1" style="104" min="13065" max="13312"/>
    <col width="45.83203125" customWidth="1" style="104" min="13313" max="13313"/>
    <col width="14.83203125" customWidth="1" style="104" min="13314" max="13320"/>
    <col width="8.83203125" customWidth="1" style="104" min="13321" max="13568"/>
    <col width="45.83203125" customWidth="1" style="104" min="13569" max="13569"/>
    <col width="14.83203125" customWidth="1" style="104" min="13570" max="13576"/>
    <col width="8.83203125" customWidth="1" style="104" min="13577" max="13824"/>
    <col width="45.83203125" customWidth="1" style="104" min="13825" max="13825"/>
    <col width="14.83203125" customWidth="1" style="104" min="13826" max="13832"/>
    <col width="8.83203125" customWidth="1" style="104" min="13833" max="14080"/>
    <col width="45.83203125" customWidth="1" style="104" min="14081" max="14081"/>
    <col width="14.83203125" customWidth="1" style="104" min="14082" max="14088"/>
    <col width="8.83203125" customWidth="1" style="104" min="14089" max="14336"/>
    <col width="45.83203125" customWidth="1" style="104" min="14337" max="14337"/>
    <col width="14.83203125" customWidth="1" style="104" min="14338" max="14344"/>
    <col width="8.83203125" customWidth="1" style="104" min="14345" max="14592"/>
    <col width="45.83203125" customWidth="1" style="104" min="14593" max="14593"/>
    <col width="14.83203125" customWidth="1" style="104" min="14594" max="14600"/>
    <col width="8.83203125" customWidth="1" style="104" min="14601" max="14848"/>
    <col width="45.83203125" customWidth="1" style="104" min="14849" max="14849"/>
    <col width="14.83203125" customWidth="1" style="104" min="14850" max="14856"/>
    <col width="8.83203125" customWidth="1" style="104" min="14857" max="15104"/>
    <col width="45.83203125" customWidth="1" style="104" min="15105" max="15105"/>
    <col width="14.83203125" customWidth="1" style="104" min="15106" max="15112"/>
    <col width="8.83203125" customWidth="1" style="104" min="15113" max="15360"/>
    <col width="45.83203125" customWidth="1" style="104" min="15361" max="15361"/>
    <col width="14.83203125" customWidth="1" style="104" min="15362" max="15368"/>
    <col width="8.83203125" customWidth="1" style="104" min="15369" max="15616"/>
    <col width="45.83203125" customWidth="1" style="104" min="15617" max="15617"/>
    <col width="14.83203125" customWidth="1" style="104" min="15618" max="15624"/>
    <col width="8.83203125" customWidth="1" style="104" min="15625" max="15872"/>
    <col width="45.83203125" customWidth="1" style="104" min="15873" max="15873"/>
    <col width="14.83203125" customWidth="1" style="104" min="15874" max="15880"/>
    <col width="8.83203125" customWidth="1" style="104" min="15881" max="16128"/>
    <col width="45.83203125" customWidth="1" style="104" min="16129" max="16129"/>
    <col width="14.83203125" customWidth="1" style="104" min="16130" max="16136"/>
    <col width="8.83203125" customWidth="1" style="104" min="16137" max="16384"/>
  </cols>
  <sheetData>
    <row r="5" ht="17" customHeight="1" s="240">
      <c r="A5" s="103" t="inlineStr">
        <is>
          <t>Via Transportation, Inc. (NYSE:VIA) &gt; Financials &gt; Key Stats</t>
        </is>
      </c>
    </row>
    <row r="7" ht="12" customHeight="1" s="240">
      <c r="A7" s="105" t="inlineStr">
        <is>
          <t>In Millions of the trading currency, except per share items.</t>
        </is>
      </c>
      <c r="B7" s="106" t="inlineStr">
        <is>
          <t>Currency:</t>
        </is>
      </c>
      <c r="C7" s="104" t="inlineStr">
        <is>
          <t>Trading Currency</t>
        </is>
      </c>
      <c r="D7" s="107" t="inlineStr">
        <is>
          <t> </t>
        </is>
      </c>
      <c r="E7" s="106" t="inlineStr">
        <is>
          <t>Conversion:</t>
        </is>
      </c>
      <c r="F7" s="104" t="inlineStr">
        <is>
          <t>Historical</t>
        </is>
      </c>
    </row>
    <row r="8">
      <c r="A8" s="107" t="n"/>
      <c r="B8" s="106" t="inlineStr">
        <is>
          <t>Order:</t>
        </is>
      </c>
      <c r="C8" s="104" t="inlineStr">
        <is>
          <t>Latest on Right</t>
        </is>
      </c>
      <c r="D8" s="107" t="inlineStr">
        <is>
          <t> </t>
        </is>
      </c>
      <c r="E8" s="106" t="inlineStr">
        <is>
          <t>Units:</t>
        </is>
      </c>
      <c r="F8" s="104" t="inlineStr">
        <is>
          <t>S&amp;P Capital IQ (Default)</t>
        </is>
      </c>
    </row>
    <row r="9">
      <c r="A9" s="107" t="n"/>
      <c r="B9" s="106" t="inlineStr">
        <is>
          <t>Decimals:</t>
        </is>
      </c>
      <c r="C9" s="108" t="inlineStr">
        <is>
          <t>Capital IQ (Default)</t>
        </is>
      </c>
      <c r="D9" s="107" t="inlineStr">
        <is>
          <t> </t>
        </is>
      </c>
      <c r="E9" s="106" t="inlineStr">
        <is>
          <t>Dilution:</t>
        </is>
      </c>
      <c r="F9" s="104" t="inlineStr">
        <is>
          <t>Basic</t>
        </is>
      </c>
    </row>
    <row r="12">
      <c r="A12" s="109" t="inlineStr">
        <is>
          <t>Key Financials¹</t>
        </is>
      </c>
      <c r="B12" s="109" t="n"/>
      <c r="C12" s="109" t="n"/>
      <c r="D12" s="109" t="n"/>
      <c r="E12" s="109" t="n"/>
      <c r="F12" s="109" t="n"/>
      <c r="G12" s="109" t="n"/>
      <c r="H12" s="109" t="n"/>
      <c r="I12" s="110" t="n"/>
      <c r="J12" s="110" t="n"/>
      <c r="K12" s="110" t="n"/>
      <c r="L12" s="110" t="n"/>
      <c r="M12" s="110" t="n"/>
      <c r="N12" s="110" t="n"/>
      <c r="O12" s="110" t="n"/>
      <c r="P12" s="110" t="n"/>
      <c r="Q12" s="110" t="n"/>
      <c r="R12" s="110" t="n"/>
      <c r="S12" s="110" t="n"/>
      <c r="T12" s="110" t="n"/>
      <c r="U12" s="110" t="n"/>
      <c r="V12" s="110" t="n"/>
      <c r="W12" s="110" t="n"/>
      <c r="X12" s="110" t="n"/>
      <c r="Y12" s="110" t="n"/>
      <c r="Z12" s="110" t="n"/>
      <c r="AA12" s="110" t="n"/>
      <c r="AB12" s="110" t="n"/>
      <c r="AC12" s="110" t="n"/>
      <c r="AD12" s="110" t="n"/>
      <c r="AE12" s="110" t="n"/>
      <c r="AF12" s="110" t="n"/>
      <c r="AG12" s="110" t="n"/>
      <c r="AH12" s="110" t="n"/>
      <c r="AI12" s="110" t="n"/>
      <c r="AJ12" s="110" t="n"/>
      <c r="AK12" s="110" t="n"/>
      <c r="AL12" s="110" t="n"/>
      <c r="AM12" s="110" t="n"/>
      <c r="AN12" s="110" t="n"/>
      <c r="AO12" s="110" t="n"/>
      <c r="AP12" s="110" t="n"/>
      <c r="AQ12" s="110" t="n"/>
      <c r="AR12" s="110" t="n"/>
      <c r="AS12" s="110" t="n"/>
      <c r="AT12" s="110" t="n"/>
      <c r="AU12" s="110" t="n"/>
      <c r="AV12" s="110" t="n"/>
      <c r="AW12" s="110" t="n"/>
      <c r="AX12" s="110" t="n"/>
      <c r="AY12" s="110" t="n"/>
      <c r="AZ12" s="110" t="n"/>
      <c r="BA12" s="110" t="n"/>
      <c r="BB12" s="110" t="n"/>
      <c r="BC12" s="110" t="n"/>
      <c r="BD12" s="110" t="n"/>
      <c r="BE12" s="110" t="n"/>
      <c r="BF12" s="110" t="n"/>
      <c r="BG12" s="110" t="n"/>
      <c r="BH12" s="110" t="n"/>
      <c r="BI12" s="110" t="n"/>
      <c r="BJ12" s="110" t="n"/>
      <c r="BK12" s="110" t="n"/>
      <c r="BL12" s="110" t="n"/>
      <c r="BM12" s="110" t="n"/>
      <c r="BN12" s="110" t="n"/>
      <c r="BO12" s="110" t="n"/>
      <c r="BP12" s="110" t="n"/>
      <c r="BQ12" s="110" t="n"/>
      <c r="BR12" s="110" t="n"/>
      <c r="BS12" s="110" t="n"/>
      <c r="BT12" s="110" t="n"/>
      <c r="BU12" s="110" t="n"/>
      <c r="BV12" s="110" t="n"/>
      <c r="BW12" s="110" t="n"/>
      <c r="BX12" s="110" t="n"/>
      <c r="BY12" s="110" t="n"/>
      <c r="BZ12" s="110" t="n"/>
      <c r="CA12" s="110" t="n"/>
      <c r="CB12" s="110" t="n"/>
      <c r="CC12" s="110" t="n"/>
      <c r="CD12" s="110" t="n"/>
      <c r="CE12" s="110" t="n"/>
      <c r="CF12" s="110" t="n"/>
      <c r="CG12" s="110" t="n"/>
      <c r="CH12" s="110" t="n"/>
      <c r="CI12" s="110" t="n"/>
      <c r="CJ12" s="110" t="n"/>
      <c r="CK12" s="110" t="n"/>
      <c r="CL12" s="110" t="n"/>
      <c r="CM12" s="110" t="n"/>
      <c r="CN12" s="110" t="n"/>
      <c r="CO12" s="110" t="n"/>
      <c r="CP12" s="110" t="n"/>
      <c r="CQ12" s="110" t="n"/>
      <c r="CR12" s="110" t="n"/>
      <c r="CS12" s="110" t="n"/>
      <c r="CT12" s="110" t="n"/>
      <c r="CU12" s="110" t="n"/>
      <c r="CV12" s="110" t="n"/>
      <c r="CW12" s="110" t="n"/>
      <c r="CX12" s="110" t="n"/>
      <c r="CY12" s="110" t="n"/>
      <c r="CZ12" s="110" t="n"/>
      <c r="DA12" s="110" t="n"/>
      <c r="DB12" s="110" t="n"/>
      <c r="DC12" s="110" t="n"/>
      <c r="DD12" s="110" t="n"/>
      <c r="DE12" s="110" t="n"/>
      <c r="DF12" s="110" t="n"/>
      <c r="DG12" s="110" t="n"/>
      <c r="DH12" s="110" t="n"/>
      <c r="DI12" s="110" t="n"/>
      <c r="DJ12" s="110" t="n"/>
      <c r="DK12" s="110" t="n"/>
      <c r="DL12" s="110" t="n"/>
      <c r="DM12" s="110" t="n"/>
      <c r="DN12" s="110" t="n"/>
      <c r="DO12" s="110" t="n"/>
      <c r="DP12" s="110" t="n"/>
      <c r="DQ12" s="110" t="n"/>
      <c r="DR12" s="110" t="n"/>
      <c r="DS12" s="110" t="n"/>
      <c r="DT12" s="110" t="n"/>
      <c r="DU12" s="110" t="n"/>
      <c r="DV12" s="110" t="n"/>
      <c r="DW12" s="110" t="n"/>
      <c r="DX12" s="110" t="n"/>
      <c r="DY12" s="110" t="n"/>
      <c r="DZ12" s="110" t="n"/>
      <c r="EA12" s="110" t="n"/>
      <c r="EB12" s="110" t="n"/>
      <c r="EC12" s="110" t="n"/>
      <c r="ED12" s="110" t="n"/>
      <c r="EE12" s="110" t="n"/>
      <c r="EF12" s="110" t="n"/>
      <c r="EG12" s="110" t="n"/>
      <c r="EH12" s="110" t="n"/>
      <c r="EI12" s="110" t="n"/>
      <c r="EJ12" s="110" t="n"/>
      <c r="EK12" s="110" t="n"/>
      <c r="EL12" s="110" t="n"/>
      <c r="EM12" s="110" t="n"/>
      <c r="EN12" s="110" t="n"/>
      <c r="EO12" s="110" t="n"/>
      <c r="EP12" s="110" t="n"/>
      <c r="EQ12" s="110" t="n"/>
      <c r="ER12" s="110" t="n"/>
      <c r="ES12" s="110" t="n"/>
      <c r="ET12" s="110" t="n"/>
      <c r="EU12" s="110" t="n"/>
      <c r="EV12" s="110" t="n"/>
      <c r="EW12" s="110" t="n"/>
      <c r="EX12" s="110" t="n"/>
      <c r="EY12" s="110" t="n"/>
      <c r="EZ12" s="110" t="n"/>
      <c r="FA12" s="110" t="n"/>
      <c r="FB12" s="110" t="n"/>
      <c r="FC12" s="110" t="n"/>
      <c r="FD12" s="110" t="n"/>
      <c r="FE12" s="110" t="n"/>
      <c r="FF12" s="110" t="n"/>
      <c r="FG12" s="110" t="n"/>
      <c r="FH12" s="110" t="n"/>
      <c r="FI12" s="110" t="n"/>
      <c r="FJ12" s="110" t="n"/>
      <c r="FK12" s="110" t="n"/>
      <c r="FL12" s="110" t="n"/>
      <c r="FM12" s="110" t="n"/>
      <c r="FN12" s="110" t="n"/>
      <c r="FO12" s="110" t="n"/>
      <c r="FP12" s="110" t="n"/>
      <c r="FQ12" s="110" t="n"/>
      <c r="FR12" s="110" t="n"/>
      <c r="FS12" s="110" t="n"/>
      <c r="FT12" s="110" t="n"/>
      <c r="FU12" s="110" t="n"/>
      <c r="FV12" s="110" t="n"/>
      <c r="FW12" s="110" t="n"/>
      <c r="FX12" s="110" t="n"/>
      <c r="FY12" s="110" t="n"/>
      <c r="FZ12" s="110" t="n"/>
      <c r="GA12" s="110" t="n"/>
      <c r="GB12" s="110" t="n"/>
      <c r="GC12" s="110" t="n"/>
      <c r="GD12" s="110" t="n"/>
      <c r="GE12" s="110" t="n"/>
      <c r="GF12" s="110" t="n"/>
      <c r="GG12" s="110" t="n"/>
      <c r="GH12" s="110" t="n"/>
      <c r="GI12" s="110" t="n"/>
      <c r="GJ12" s="110" t="n"/>
      <c r="GK12" s="110" t="n"/>
      <c r="GL12" s="110" t="n"/>
      <c r="GM12" s="110" t="n"/>
      <c r="GN12" s="110" t="n"/>
      <c r="GO12" s="110" t="n"/>
      <c r="GP12" s="110" t="n"/>
      <c r="GQ12" s="110" t="n"/>
      <c r="GR12" s="110" t="n"/>
      <c r="GS12" s="110" t="n"/>
      <c r="GT12" s="110" t="n"/>
      <c r="GU12" s="110" t="n"/>
      <c r="GV12" s="110" t="n"/>
      <c r="GW12" s="110" t="n"/>
      <c r="GX12" s="110" t="n"/>
      <c r="GY12" s="110" t="n"/>
      <c r="GZ12" s="110" t="n"/>
      <c r="HA12" s="110" t="n"/>
      <c r="HB12" s="110" t="n"/>
      <c r="HC12" s="110" t="n"/>
      <c r="HD12" s="110" t="n"/>
      <c r="HE12" s="110" t="n"/>
      <c r="HF12" s="110" t="n"/>
      <c r="HG12" s="110" t="n"/>
      <c r="HH12" s="110" t="n"/>
      <c r="HI12" s="110" t="n"/>
      <c r="HJ12" s="110" t="n"/>
      <c r="HK12" s="110" t="n"/>
      <c r="HL12" s="110" t="n"/>
      <c r="HM12" s="110" t="n"/>
      <c r="HN12" s="110" t="n"/>
      <c r="HO12" s="110" t="n"/>
      <c r="HP12" s="110" t="n"/>
      <c r="HQ12" s="110" t="n"/>
      <c r="HR12" s="110" t="n"/>
      <c r="HS12" s="110" t="n"/>
      <c r="HT12" s="110" t="n"/>
      <c r="HU12" s="110" t="n"/>
      <c r="HV12" s="110" t="n"/>
      <c r="HW12" s="110" t="n"/>
      <c r="HX12" s="110" t="n"/>
      <c r="HY12" s="110" t="n"/>
      <c r="HZ12" s="110" t="n"/>
      <c r="IA12" s="110" t="n"/>
      <c r="IB12" s="110" t="n"/>
      <c r="IC12" s="110" t="n"/>
      <c r="ID12" s="110" t="n"/>
      <c r="IE12" s="110" t="n"/>
      <c r="IF12" s="110" t="n"/>
      <c r="IG12" s="110" t="n"/>
      <c r="IH12" s="110" t="n"/>
      <c r="II12" s="110" t="n"/>
      <c r="IJ12" s="110" t="n"/>
      <c r="IK12" s="110" t="n"/>
      <c r="IL12" s="110" t="n"/>
      <c r="IM12" s="110" t="n"/>
      <c r="IN12" s="110" t="n"/>
      <c r="IO12" s="110" t="n"/>
      <c r="IP12" s="110" t="n"/>
      <c r="IQ12" s="110" t="n"/>
      <c r="IR12" s="110" t="n"/>
      <c r="IS12" s="110" t="n"/>
      <c r="IT12" s="110" t="n"/>
      <c r="IU12" s="110" t="n"/>
    </row>
    <row r="13" ht="36" customHeight="1" s="240">
      <c r="A13" s="111" t="inlineStr">
        <is>
          <t xml:space="preserve">For the Fiscal Period Ending
</t>
        </is>
      </c>
      <c r="B13" s="112" t="inlineStr">
        <is>
          <t>12 months
Dec-31-2023A</t>
        </is>
      </c>
      <c r="C13" s="112" t="inlineStr">
        <is>
          <t>12 months
Dec-31-2024A</t>
        </is>
      </c>
      <c r="D13" s="112" t="inlineStr">
        <is>
          <t>12 months
Dec-31-2025A</t>
        </is>
      </c>
      <c r="E13" s="112" t="inlineStr">
        <is>
          <t>LTM²
12 months
Jun-30-2026A</t>
        </is>
      </c>
      <c r="F13" s="112" t="inlineStr">
        <is>
          <t>12 months†
Dec-31-2026E</t>
        </is>
      </c>
      <c r="G13" s="112" t="inlineStr">
        <is>
          <t>12 months
Dec-31-2027E</t>
        </is>
      </c>
      <c r="H13" s="112" t="inlineStr">
        <is>
          <t>12 months
Dec-31-2028E</t>
        </is>
      </c>
    </row>
    <row r="14" ht="12" customHeight="1" s="240">
      <c r="A14" s="113" t="inlineStr">
        <is>
          <t>Currency</t>
        </is>
      </c>
      <c r="B14" s="114" t="inlineStr">
        <is>
          <t>USD</t>
        </is>
      </c>
      <c r="C14" s="114" t="inlineStr">
        <is>
          <t>USD</t>
        </is>
      </c>
      <c r="D14" s="114" t="inlineStr">
        <is>
          <t>USD</t>
        </is>
      </c>
      <c r="E14" s="114" t="inlineStr">
        <is>
          <t>USD</t>
        </is>
      </c>
      <c r="F14" s="114" t="inlineStr">
        <is>
          <t>USD</t>
        </is>
      </c>
      <c r="G14" s="114" t="inlineStr">
        <is>
          <t>USD</t>
        </is>
      </c>
      <c r="H14" s="114" t="inlineStr">
        <is>
          <t>USD</t>
        </is>
      </c>
    </row>
    <row r="15">
      <c r="A15" s="115" t="n"/>
      <c r="B15" s="107" t="n"/>
      <c r="C15" s="107" t="n"/>
      <c r="D15" s="107" t="n"/>
      <c r="E15" s="107" t="n"/>
      <c r="F15" s="107" t="n"/>
      <c r="G15" s="107" t="n"/>
      <c r="H15" s="107" t="n"/>
    </row>
    <row r="16">
      <c r="A16" s="115" t="inlineStr">
        <is>
          <t>Total Revenue</t>
        </is>
      </c>
      <c r="B16" s="117" t="n">
        <v>248.854</v>
      </c>
      <c r="C16" s="117" t="n">
        <v>337.63</v>
      </c>
      <c r="D16" s="117" t="n">
        <v>434.337</v>
      </c>
      <c r="E16" s="117" t="n">
        <v>491.703</v>
      </c>
      <c r="F16" s="273" t="n">
        <v>551.73774</v>
      </c>
      <c r="G16" s="273" t="n">
        <v>674.03932</v>
      </c>
      <c r="H16" s="273" t="n">
        <v>814.01794</v>
      </c>
    </row>
    <row r="17" ht="12" customHeight="1" s="240">
      <c r="A17" s="123" t="inlineStr">
        <is>
          <t xml:space="preserve">  Growth Over Prior Year</t>
        </is>
      </c>
      <c r="B17" s="124" t="inlineStr">
        <is>
          <t>NA</t>
        </is>
      </c>
      <c r="C17" s="125" t="n">
        <v>0.356739</v>
      </c>
      <c r="D17" s="125" t="n">
        <v>0.286428</v>
      </c>
      <c r="E17" s="125" t="n">
        <v>0.291328</v>
      </c>
      <c r="F17" s="274" t="n">
        <v>0.27029873117</v>
      </c>
      <c r="G17" s="274" t="n">
        <v>0.221666148848</v>
      </c>
      <c r="H17" s="274" t="n">
        <v>0.207671297277</v>
      </c>
    </row>
    <row r="18">
      <c r="A18" s="107" t="n"/>
      <c r="B18" s="107" t="n"/>
      <c r="C18" s="107" t="n"/>
      <c r="D18" s="107" t="n"/>
      <c r="E18" s="107" t="n"/>
      <c r="F18" s="107" t="n"/>
      <c r="G18" s="107" t="n"/>
      <c r="H18" s="107" t="n"/>
    </row>
    <row r="19" ht="12" customHeight="1" s="240">
      <c r="A19" s="115" t="inlineStr">
        <is>
          <t>Gross Profit</t>
        </is>
      </c>
      <c r="B19" s="117" t="n">
        <v>99.408</v>
      </c>
      <c r="C19" s="117" t="n">
        <v>130.84</v>
      </c>
      <c r="D19" s="117" t="n">
        <v>171.803</v>
      </c>
      <c r="E19" s="117" t="n">
        <v>195.703</v>
      </c>
      <c r="F19" s="117" t="inlineStr">
        <is>
          <t>-</t>
        </is>
      </c>
      <c r="G19" s="117" t="inlineStr">
        <is>
          <t>-</t>
        </is>
      </c>
      <c r="H19" s="117" t="inlineStr">
        <is>
          <t>-</t>
        </is>
      </c>
    </row>
    <row r="20">
      <c r="A20" s="123" t="inlineStr">
        <is>
          <t xml:space="preserve">  Margin %</t>
        </is>
      </c>
      <c r="B20" s="125" t="n">
        <v>0.399463</v>
      </c>
      <c r="C20" s="125" t="n">
        <v>0.387524</v>
      </c>
      <c r="D20" s="125" t="n">
        <v>0.395552</v>
      </c>
      <c r="E20" s="125" t="n">
        <v>0.39801</v>
      </c>
      <c r="F20" s="274" t="n">
        <v>0.403</v>
      </c>
      <c r="G20" s="274" t="n">
        <v>0.409875</v>
      </c>
      <c r="H20" s="274" t="n">
        <v>0.4195</v>
      </c>
    </row>
    <row r="21">
      <c r="A21" s="107" t="n"/>
      <c r="B21" s="107" t="n"/>
      <c r="C21" s="107" t="n"/>
      <c r="D21" s="107" t="n"/>
      <c r="E21" s="107" t="n"/>
      <c r="F21" s="107" t="n"/>
      <c r="G21" s="107" t="n"/>
      <c r="H21" s="107" t="n"/>
    </row>
    <row r="22">
      <c r="A22" s="115" t="inlineStr">
        <is>
          <t>EBITDA</t>
        </is>
      </c>
      <c r="B22" s="117" t="n">
        <v>-106.4</v>
      </c>
      <c r="C22" s="117" t="n">
        <v>-74.8</v>
      </c>
      <c r="D22" s="117" t="n">
        <v>-68.09999999999999</v>
      </c>
      <c r="E22" s="117" t="n">
        <v>-79.7</v>
      </c>
      <c r="F22" s="273" t="n">
        <v>-10.78</v>
      </c>
      <c r="G22" s="273" t="n">
        <v>30.0682</v>
      </c>
      <c r="H22" s="273" t="n">
        <v>67.45326</v>
      </c>
    </row>
    <row r="23" ht="12" customHeight="1" s="240">
      <c r="A23" s="123" t="inlineStr">
        <is>
          <t xml:space="preserve">  Margin %</t>
        </is>
      </c>
      <c r="B23" s="125" t="n">
        <v>-0.4277</v>
      </c>
      <c r="C23" s="125" t="n">
        <v>-0.221455</v>
      </c>
      <c r="D23" s="125" t="n">
        <v>-0.15676</v>
      </c>
      <c r="E23" s="125" t="n">
        <v>-0.161998</v>
      </c>
      <c r="F23" s="124" t="inlineStr">
        <is>
          <t>-</t>
        </is>
      </c>
      <c r="G23" s="274" t="n">
        <v>0.04460897029</v>
      </c>
      <c r="H23" s="274" t="n">
        <v>0.08286458649800001</v>
      </c>
    </row>
    <row r="24">
      <c r="A24" s="107" t="n"/>
      <c r="B24" s="107" t="n"/>
      <c r="C24" s="107" t="n"/>
      <c r="D24" s="107" t="n"/>
      <c r="E24" s="107" t="n"/>
      <c r="F24" s="107" t="n"/>
      <c r="G24" s="107" t="n"/>
      <c r="H24" s="107" t="n"/>
    </row>
    <row r="25">
      <c r="A25" s="115" t="inlineStr">
        <is>
          <t>EBIT</t>
        </is>
      </c>
      <c r="B25" s="117" t="n">
        <v>-114.5</v>
      </c>
      <c r="C25" s="117" t="n">
        <v>-83.90000000000001</v>
      </c>
      <c r="D25" s="117" t="n">
        <v>-76.59999999999999</v>
      </c>
      <c r="E25" s="117" t="n">
        <v>-88.59999999999999</v>
      </c>
      <c r="F25" s="273" t="n">
        <v>-81.17</v>
      </c>
      <c r="G25" s="273" t="n">
        <v>-45.42</v>
      </c>
      <c r="H25" s="273" t="n">
        <v>-21.93</v>
      </c>
    </row>
    <row r="26" ht="12" customHeight="1" s="240">
      <c r="A26" s="123" t="inlineStr">
        <is>
          <t xml:space="preserve">  Margin %</t>
        </is>
      </c>
      <c r="B26" s="125" t="n">
        <v>-0.459928</v>
      </c>
      <c r="C26" s="125" t="n">
        <v>-0.248485</v>
      </c>
      <c r="D26" s="125" t="n">
        <v>-0.176397</v>
      </c>
      <c r="E26" s="125" t="n">
        <v>-0.18023</v>
      </c>
      <c r="F26" s="124" t="inlineStr">
        <is>
          <t>-</t>
        </is>
      </c>
      <c r="G26" s="124" t="inlineStr">
        <is>
          <t>-</t>
        </is>
      </c>
      <c r="H26" s="124" t="inlineStr">
        <is>
          <t>-</t>
        </is>
      </c>
    </row>
    <row r="27">
      <c r="A27" s="107" t="n"/>
      <c r="B27" s="107" t="n"/>
      <c r="C27" s="107" t="n"/>
      <c r="D27" s="107" t="n"/>
      <c r="E27" s="107" t="n"/>
      <c r="F27" s="107" t="n"/>
      <c r="G27" s="107" t="n"/>
      <c r="H27" s="107" t="n"/>
    </row>
    <row r="28" ht="12" customHeight="1" s="240">
      <c r="A28" s="115" t="inlineStr">
        <is>
          <t>Earnings from Cont. Ops.</t>
        </is>
      </c>
      <c r="B28" s="117" t="n">
        <v>-117</v>
      </c>
      <c r="C28" s="117" t="n">
        <v>-90.59999999999999</v>
      </c>
      <c r="D28" s="117" t="n">
        <v>-96.40000000000001</v>
      </c>
      <c r="E28" s="117" t="n">
        <v>-98.5</v>
      </c>
      <c r="F28" s="117" t="inlineStr">
        <is>
          <t>-</t>
        </is>
      </c>
      <c r="G28" s="117" t="inlineStr">
        <is>
          <t>-</t>
        </is>
      </c>
      <c r="H28" s="117" t="inlineStr">
        <is>
          <t>-</t>
        </is>
      </c>
    </row>
    <row r="29" ht="12" customHeight="1" s="240">
      <c r="A29" s="123" t="inlineStr">
        <is>
          <t xml:space="preserve">  Margin %</t>
        </is>
      </c>
      <c r="B29" s="125" t="n">
        <v>-0.47001</v>
      </c>
      <c r="C29" s="125" t="n">
        <v>-0.268198</v>
      </c>
      <c r="D29" s="125" t="n">
        <v>-0.221857</v>
      </c>
      <c r="E29" s="125" t="n">
        <v>-0.200381</v>
      </c>
      <c r="F29" s="124" t="inlineStr">
        <is>
          <t>-</t>
        </is>
      </c>
      <c r="G29" s="124" t="inlineStr">
        <is>
          <t>-</t>
        </is>
      </c>
      <c r="H29" s="124" t="inlineStr">
        <is>
          <t>-</t>
        </is>
      </c>
    </row>
    <row r="30">
      <c r="A30" s="107" t="n"/>
      <c r="B30" s="107" t="n"/>
      <c r="C30" s="107" t="n"/>
      <c r="D30" s="107" t="n"/>
      <c r="E30" s="107" t="n"/>
      <c r="F30" s="107" t="n"/>
      <c r="G30" s="107" t="n"/>
      <c r="H30" s="107" t="n"/>
    </row>
    <row r="31">
      <c r="A31" s="115" t="inlineStr">
        <is>
          <t>Net Income</t>
        </is>
      </c>
      <c r="B31" s="117" t="n">
        <v>-116.7</v>
      </c>
      <c r="C31" s="117" t="n">
        <v>-90.3</v>
      </c>
      <c r="D31" s="117" t="n">
        <v>-96.40000000000001</v>
      </c>
      <c r="E31" s="117" t="n">
        <v>-98.5</v>
      </c>
      <c r="F31" s="273" t="n">
        <v>-2.55</v>
      </c>
      <c r="G31" s="273" t="n">
        <v>37.93337</v>
      </c>
      <c r="H31" s="273" t="n">
        <v>73.18674</v>
      </c>
    </row>
    <row r="32">
      <c r="A32" s="123" t="inlineStr">
        <is>
          <t xml:space="preserve">  Margin %</t>
        </is>
      </c>
      <c r="B32" s="125" t="n">
        <v>-0.468893</v>
      </c>
      <c r="C32" s="125" t="n">
        <v>-0.267396</v>
      </c>
      <c r="D32" s="125" t="n">
        <v>-0.221857</v>
      </c>
      <c r="E32" s="125" t="n">
        <v>-0.200381</v>
      </c>
      <c r="F32" s="274" t="n">
        <v>-0.004625694084</v>
      </c>
      <c r="G32" s="274" t="n">
        <v>0.056277681249</v>
      </c>
      <c r="H32" s="274" t="n">
        <v>0.089908018489</v>
      </c>
    </row>
    <row r="33">
      <c r="A33" s="107" t="n"/>
      <c r="B33" s="107" t="n"/>
      <c r="C33" s="107" t="n"/>
      <c r="D33" s="107" t="n"/>
      <c r="E33" s="107" t="n"/>
      <c r="F33" s="107" t="n"/>
      <c r="G33" s="107" t="n"/>
      <c r="H33" s="107" t="n"/>
    </row>
    <row r="34">
      <c r="A34" s="115" t="inlineStr">
        <is>
          <t>Diluted EPS Excl. Extra Items³</t>
        </is>
      </c>
      <c r="B34" s="273" t="n">
        <v>-9.6</v>
      </c>
      <c r="C34" s="273" t="n">
        <v>-7.21</v>
      </c>
      <c r="D34" s="273" t="n">
        <v>-2.92</v>
      </c>
      <c r="E34" s="273" t="n">
        <v>-1.47</v>
      </c>
      <c r="F34" s="273" t="n">
        <v>-0.03</v>
      </c>
      <c r="G34" s="273" t="n">
        <v>0.42981</v>
      </c>
      <c r="H34" s="273" t="n">
        <v>0.79631</v>
      </c>
    </row>
    <row r="35" ht="12" customHeight="1" s="240">
      <c r="A35" s="123" t="inlineStr">
        <is>
          <t xml:space="preserve">  Growth Over Prior Year</t>
        </is>
      </c>
      <c r="B35" s="124" t="inlineStr">
        <is>
          <t>NA</t>
        </is>
      </c>
      <c r="C35" s="125" t="inlineStr">
        <is>
          <t>NM</t>
        </is>
      </c>
      <c r="D35" s="125" t="inlineStr">
        <is>
          <t>NM</t>
        </is>
      </c>
      <c r="E35" s="125" t="inlineStr">
        <is>
          <t>NM</t>
        </is>
      </c>
      <c r="F35" s="124" t="inlineStr">
        <is>
          <t>-</t>
        </is>
      </c>
      <c r="G35" s="124" t="inlineStr">
        <is>
          <t>-</t>
        </is>
      </c>
      <c r="H35" s="274" t="n">
        <v>0.852702356855</v>
      </c>
    </row>
    <row r="36">
      <c r="A36" s="107" t="n"/>
      <c r="B36" s="107" t="n"/>
      <c r="C36" s="107" t="n"/>
      <c r="D36" s="107" t="n"/>
      <c r="E36" s="107" t="n"/>
      <c r="F36" s="107" t="n"/>
      <c r="G36" s="107" t="n"/>
      <c r="H36" s="107" t="n"/>
    </row>
    <row r="37">
      <c r="A37" s="107" t="n"/>
      <c r="B37" s="107" t="inlineStr"/>
      <c r="C37" s="107" t="inlineStr"/>
      <c r="D37" s="107" t="inlineStr"/>
      <c r="E37" s="107" t="inlineStr"/>
      <c r="F37" s="107" t="inlineStr"/>
      <c r="G37" s="107" t="inlineStr"/>
      <c r="H37" s="107" t="inlineStr"/>
    </row>
    <row r="38" ht="12" customHeight="1" s="240">
      <c r="A38" s="107" t="inlineStr">
        <is>
          <t>Currency</t>
        </is>
      </c>
      <c r="B38" s="119" t="inlineStr">
        <is>
          <t>USD</t>
        </is>
      </c>
      <c r="C38" s="119" t="inlineStr">
        <is>
          <t>USD</t>
        </is>
      </c>
      <c r="D38" s="119" t="inlineStr">
        <is>
          <t>USD</t>
        </is>
      </c>
      <c r="E38" s="119" t="inlineStr">
        <is>
          <t>USD</t>
        </is>
      </c>
      <c r="F38" s="119" t="inlineStr">
        <is>
          <t>USD</t>
        </is>
      </c>
      <c r="G38" s="119" t="inlineStr">
        <is>
          <t>USD</t>
        </is>
      </c>
      <c r="H38" s="119" t="inlineStr">
        <is>
          <t>USD</t>
        </is>
      </c>
    </row>
    <row r="39">
      <c r="A39" s="107" t="inlineStr">
        <is>
          <t>Exchange Rate</t>
        </is>
      </c>
      <c r="B39" s="116" t="n">
        <v>1</v>
      </c>
      <c r="C39" s="116" t="n">
        <v>1</v>
      </c>
      <c r="D39" s="116" t="n">
        <v>1</v>
      </c>
      <c r="E39" s="116" t="n">
        <v>1</v>
      </c>
      <c r="F39" s="116" t="n">
        <v>1</v>
      </c>
      <c r="G39" s="116" t="n">
        <v>1</v>
      </c>
      <c r="H39" s="116" t="n">
        <v>1</v>
      </c>
    </row>
    <row r="40" ht="12" customHeight="1" s="240">
      <c r="A40" s="107" t="inlineStr">
        <is>
          <t>Conversion Method</t>
        </is>
      </c>
      <c r="B40" s="119" t="inlineStr">
        <is>
          <t>H</t>
        </is>
      </c>
      <c r="C40" s="119" t="inlineStr">
        <is>
          <t>H</t>
        </is>
      </c>
      <c r="D40" s="119" t="inlineStr">
        <is>
          <t>H</t>
        </is>
      </c>
      <c r="E40" s="119" t="inlineStr">
        <is>
          <t>H</t>
        </is>
      </c>
      <c r="F40" s="119" t="inlineStr">
        <is>
          <t>S</t>
        </is>
      </c>
      <c r="G40" s="119" t="inlineStr">
        <is>
          <t>S</t>
        </is>
      </c>
      <c r="H40" s="119" t="inlineStr">
        <is>
          <t>S</t>
        </is>
      </c>
    </row>
    <row r="41">
      <c r="A41" s="120" t="n"/>
      <c r="B41" s="120" t="n"/>
      <c r="C41" s="120" t="n"/>
      <c r="D41" s="120" t="n"/>
      <c r="E41" s="120" t="n"/>
      <c r="F41" s="120" t="n"/>
      <c r="G41" s="120" t="n"/>
      <c r="H41" s="120" t="n"/>
    </row>
    <row r="42">
      <c r="A42" s="104" t="inlineStr">
        <is>
          <t>¹All results are taken from the most recently filed statement for each period. When there has been more than one, earlier filings can be viewed on the individual statement pages.</t>
        </is>
      </c>
    </row>
    <row r="43">
      <c r="A43" s="104" t="inlineStr">
        <is>
          <t>²Growth rates for the LTM period are calculated against the LTM period ending 12 months before.</t>
        </is>
      </c>
    </row>
    <row r="44">
      <c r="A44" s="104" t="inlineStr">
        <is>
          <t>³All forward period figures are consensus mean estimates provided by the brokers and may not be on a comparable basis as financials.</t>
        </is>
      </c>
    </row>
    <row r="45">
      <c r="A45" s="104" t="inlineStr">
        <is>
          <t>†Growth rates for forward periods are calculated against prior period estimates or actual pro forma results as disclosed on the Estimates Consensus page.</t>
        </is>
      </c>
    </row>
    <row r="46">
      <c r="A46" s="104" t="inlineStr">
        <is>
          <t>Growth Rates are calculated in originally reported currency only and will not reflect any currency conversion selected above.</t>
        </is>
      </c>
    </row>
    <row r="48">
      <c r="A48" s="109" t="inlineStr">
        <is>
          <t>Current Capitalization (Millions of USD)</t>
        </is>
      </c>
      <c r="B48" s="109" t="n"/>
      <c r="I48" s="110" t="n"/>
      <c r="J48" s="110" t="n"/>
      <c r="K48" s="110" t="n"/>
      <c r="L48" s="110" t="n"/>
      <c r="M48" s="110" t="n"/>
      <c r="N48" s="110" t="n"/>
      <c r="O48" s="110" t="n"/>
      <c r="P48" s="110" t="n"/>
      <c r="Q48" s="110" t="n"/>
      <c r="R48" s="110" t="n"/>
      <c r="S48" s="110" t="n"/>
      <c r="T48" s="110" t="n"/>
      <c r="U48" s="110" t="n"/>
      <c r="V48" s="110" t="n"/>
      <c r="W48" s="110" t="n"/>
      <c r="X48" s="110" t="n"/>
      <c r="Y48" s="110" t="n"/>
      <c r="Z48" s="110" t="n"/>
      <c r="AA48" s="110" t="n"/>
      <c r="AB48" s="110" t="n"/>
      <c r="AC48" s="110" t="n"/>
      <c r="AD48" s="110" t="n"/>
      <c r="AE48" s="110" t="n"/>
      <c r="AF48" s="110" t="n"/>
      <c r="AG48" s="110" t="n"/>
      <c r="AH48" s="110" t="n"/>
      <c r="AI48" s="110" t="n"/>
      <c r="AJ48" s="110" t="n"/>
      <c r="AK48" s="110" t="n"/>
      <c r="AL48" s="110" t="n"/>
      <c r="AM48" s="110" t="n"/>
      <c r="AN48" s="110" t="n"/>
      <c r="AO48" s="110" t="n"/>
      <c r="AP48" s="110" t="n"/>
      <c r="AQ48" s="110" t="n"/>
      <c r="AR48" s="110" t="n"/>
      <c r="AS48" s="110" t="n"/>
      <c r="AT48" s="110" t="n"/>
      <c r="AU48" s="110" t="n"/>
      <c r="AV48" s="110" t="n"/>
      <c r="AW48" s="110" t="n"/>
      <c r="AX48" s="110" t="n"/>
      <c r="AY48" s="110" t="n"/>
      <c r="AZ48" s="110" t="n"/>
      <c r="BA48" s="110" t="n"/>
      <c r="BB48" s="110" t="n"/>
      <c r="BC48" s="110" t="n"/>
      <c r="BD48" s="110" t="n"/>
      <c r="BE48" s="110" t="n"/>
      <c r="BF48" s="110" t="n"/>
      <c r="BG48" s="110" t="n"/>
      <c r="BH48" s="110" t="n"/>
      <c r="BI48" s="110" t="n"/>
      <c r="BJ48" s="110" t="n"/>
      <c r="BK48" s="110" t="n"/>
      <c r="BL48" s="110" t="n"/>
      <c r="BM48" s="110" t="n"/>
      <c r="BN48" s="110" t="n"/>
      <c r="BO48" s="110" t="n"/>
      <c r="BP48" s="110" t="n"/>
      <c r="BQ48" s="110" t="n"/>
      <c r="BR48" s="110" t="n"/>
      <c r="BS48" s="110" t="n"/>
      <c r="BT48" s="110" t="n"/>
      <c r="BU48" s="110" t="n"/>
      <c r="BV48" s="110" t="n"/>
      <c r="BW48" s="110" t="n"/>
      <c r="BX48" s="110" t="n"/>
      <c r="BY48" s="110" t="n"/>
      <c r="BZ48" s="110" t="n"/>
      <c r="CA48" s="110" t="n"/>
      <c r="CB48" s="110" t="n"/>
      <c r="CC48" s="110" t="n"/>
      <c r="CD48" s="110" t="n"/>
      <c r="CE48" s="110" t="n"/>
      <c r="CF48" s="110" t="n"/>
      <c r="CG48" s="110" t="n"/>
      <c r="CH48" s="110" t="n"/>
      <c r="CI48" s="110" t="n"/>
      <c r="CJ48" s="110" t="n"/>
      <c r="CK48" s="110" t="n"/>
      <c r="CL48" s="110" t="n"/>
      <c r="CM48" s="110" t="n"/>
      <c r="CN48" s="110" t="n"/>
      <c r="CO48" s="110" t="n"/>
      <c r="CP48" s="110" t="n"/>
      <c r="CQ48" s="110" t="n"/>
      <c r="CR48" s="110" t="n"/>
      <c r="CS48" s="110" t="n"/>
      <c r="CT48" s="110" t="n"/>
      <c r="CU48" s="110" t="n"/>
      <c r="CV48" s="110" t="n"/>
      <c r="CW48" s="110" t="n"/>
      <c r="CX48" s="110" t="n"/>
      <c r="CY48" s="110" t="n"/>
      <c r="CZ48" s="110" t="n"/>
      <c r="DA48" s="110" t="n"/>
      <c r="DB48" s="110" t="n"/>
      <c r="DC48" s="110" t="n"/>
      <c r="DD48" s="110" t="n"/>
      <c r="DE48" s="110" t="n"/>
      <c r="DF48" s="110" t="n"/>
      <c r="DG48" s="110" t="n"/>
      <c r="DH48" s="110" t="n"/>
      <c r="DI48" s="110" t="n"/>
      <c r="DJ48" s="110" t="n"/>
      <c r="DK48" s="110" t="n"/>
      <c r="DL48" s="110" t="n"/>
      <c r="DM48" s="110" t="n"/>
      <c r="DN48" s="110" t="n"/>
      <c r="DO48" s="110" t="n"/>
      <c r="DP48" s="110" t="n"/>
      <c r="DQ48" s="110" t="n"/>
      <c r="DR48" s="110" t="n"/>
      <c r="DS48" s="110" t="n"/>
      <c r="DT48" s="110" t="n"/>
      <c r="DU48" s="110" t="n"/>
      <c r="DV48" s="110" t="n"/>
      <c r="DW48" s="110" t="n"/>
      <c r="DX48" s="110" t="n"/>
      <c r="DY48" s="110" t="n"/>
      <c r="DZ48" s="110" t="n"/>
      <c r="EA48" s="110" t="n"/>
      <c r="EB48" s="110" t="n"/>
      <c r="EC48" s="110" t="n"/>
      <c r="ED48" s="110" t="n"/>
      <c r="EE48" s="110" t="n"/>
      <c r="EF48" s="110" t="n"/>
      <c r="EG48" s="110" t="n"/>
      <c r="EH48" s="110" t="n"/>
      <c r="EI48" s="110" t="n"/>
      <c r="EJ48" s="110" t="n"/>
      <c r="EK48" s="110" t="n"/>
      <c r="EL48" s="110" t="n"/>
      <c r="EM48" s="110" t="n"/>
      <c r="EN48" s="110" t="n"/>
      <c r="EO48" s="110" t="n"/>
      <c r="EP48" s="110" t="n"/>
      <c r="EQ48" s="110" t="n"/>
      <c r="ER48" s="110" t="n"/>
      <c r="ES48" s="110" t="n"/>
      <c r="ET48" s="110" t="n"/>
      <c r="EU48" s="110" t="n"/>
      <c r="EV48" s="110" t="n"/>
      <c r="EW48" s="110" t="n"/>
      <c r="EX48" s="110" t="n"/>
      <c r="EY48" s="110" t="n"/>
      <c r="EZ48" s="110" t="n"/>
      <c r="FA48" s="110" t="n"/>
      <c r="FB48" s="110" t="n"/>
      <c r="FC48" s="110" t="n"/>
      <c r="FD48" s="110" t="n"/>
      <c r="FE48" s="110" t="n"/>
      <c r="FF48" s="110" t="n"/>
      <c r="FG48" s="110" t="n"/>
      <c r="FH48" s="110" t="n"/>
      <c r="FI48" s="110" t="n"/>
      <c r="FJ48" s="110" t="n"/>
      <c r="FK48" s="110" t="n"/>
      <c r="FL48" s="110" t="n"/>
      <c r="FM48" s="110" t="n"/>
      <c r="FN48" s="110" t="n"/>
      <c r="FO48" s="110" t="n"/>
      <c r="FP48" s="110" t="n"/>
      <c r="FQ48" s="110" t="n"/>
      <c r="FR48" s="110" t="n"/>
      <c r="FS48" s="110" t="n"/>
      <c r="FT48" s="110" t="n"/>
      <c r="FU48" s="110" t="n"/>
      <c r="FV48" s="110" t="n"/>
      <c r="FW48" s="110" t="n"/>
      <c r="FX48" s="110" t="n"/>
      <c r="FY48" s="110" t="n"/>
      <c r="FZ48" s="110" t="n"/>
      <c r="GA48" s="110" t="n"/>
      <c r="GB48" s="110" t="n"/>
      <c r="GC48" s="110" t="n"/>
      <c r="GD48" s="110" t="n"/>
      <c r="GE48" s="110" t="n"/>
      <c r="GF48" s="110" t="n"/>
      <c r="GG48" s="110" t="n"/>
      <c r="GH48" s="110" t="n"/>
      <c r="GI48" s="110" t="n"/>
      <c r="GJ48" s="110" t="n"/>
      <c r="GK48" s="110" t="n"/>
      <c r="GL48" s="110" t="n"/>
      <c r="GM48" s="110" t="n"/>
      <c r="GN48" s="110" t="n"/>
      <c r="GO48" s="110" t="n"/>
      <c r="GP48" s="110" t="n"/>
      <c r="GQ48" s="110" t="n"/>
      <c r="GR48" s="110" t="n"/>
      <c r="GS48" s="110" t="n"/>
      <c r="GT48" s="110" t="n"/>
      <c r="GU48" s="110" t="n"/>
      <c r="GV48" s="110" t="n"/>
      <c r="GW48" s="110" t="n"/>
      <c r="GX48" s="110" t="n"/>
      <c r="GY48" s="110" t="n"/>
      <c r="GZ48" s="110" t="n"/>
      <c r="HA48" s="110" t="n"/>
      <c r="HB48" s="110" t="n"/>
      <c r="HC48" s="110" t="n"/>
      <c r="HD48" s="110" t="n"/>
      <c r="HE48" s="110" t="n"/>
      <c r="HF48" s="110" t="n"/>
      <c r="HG48" s="110" t="n"/>
      <c r="HH48" s="110" t="n"/>
      <c r="HI48" s="110" t="n"/>
      <c r="HJ48" s="110" t="n"/>
      <c r="HK48" s="110" t="n"/>
      <c r="HL48" s="110" t="n"/>
      <c r="HM48" s="110" t="n"/>
      <c r="HN48" s="110" t="n"/>
      <c r="HO48" s="110" t="n"/>
      <c r="HP48" s="110" t="n"/>
      <c r="HQ48" s="110" t="n"/>
      <c r="HR48" s="110" t="n"/>
      <c r="HS48" s="110" t="n"/>
      <c r="HT48" s="110" t="n"/>
      <c r="HU48" s="110" t="n"/>
      <c r="HV48" s="110" t="n"/>
      <c r="HW48" s="110" t="n"/>
      <c r="HX48" s="110" t="n"/>
      <c r="HY48" s="110" t="n"/>
      <c r="HZ48" s="110" t="n"/>
      <c r="IA48" s="110" t="n"/>
      <c r="IB48" s="110" t="n"/>
      <c r="IC48" s="110" t="n"/>
      <c r="ID48" s="110" t="n"/>
      <c r="IE48" s="110" t="n"/>
      <c r="IF48" s="110" t="n"/>
      <c r="IG48" s="110" t="n"/>
      <c r="IH48" s="110" t="n"/>
      <c r="II48" s="110" t="n"/>
      <c r="IJ48" s="110" t="n"/>
      <c r="IK48" s="110" t="n"/>
      <c r="IL48" s="110" t="n"/>
      <c r="IM48" s="110" t="n"/>
      <c r="IN48" s="110" t="n"/>
      <c r="IO48" s="110" t="n"/>
      <c r="IP48" s="110" t="n"/>
      <c r="IQ48" s="110" t="n"/>
      <c r="IR48" s="110" t="n"/>
      <c r="IS48" s="110" t="n"/>
      <c r="IT48" s="110" t="n"/>
      <c r="IU48" s="110" t="n"/>
    </row>
    <row r="49" ht="12" customHeight="1" s="240">
      <c r="A49" s="113" t="inlineStr">
        <is>
          <t>Currency</t>
        </is>
      </c>
      <c r="B49" s="114" t="inlineStr">
        <is>
          <t>USD</t>
        </is>
      </c>
    </row>
    <row r="50">
      <c r="A50" s="107" t="inlineStr">
        <is>
          <t>Share Price</t>
        </is>
      </c>
      <c r="B50" s="275" t="n">
        <v>27.98</v>
      </c>
    </row>
    <row r="51">
      <c r="A51" s="107" t="inlineStr">
        <is>
          <t>Shares Out.</t>
        </is>
      </c>
      <c r="B51" s="116" t="n">
        <v>81.505613</v>
      </c>
    </row>
    <row r="52">
      <c r="A52" s="107" t="n"/>
      <c r="B52" s="107" t="n"/>
    </row>
    <row r="53">
      <c r="A53" s="115" t="inlineStr">
        <is>
          <t>Market Capitalization</t>
        </is>
      </c>
      <c r="B53" s="117" t="n">
        <v>2280.527051</v>
      </c>
    </row>
    <row r="54">
      <c r="A54" s="107" t="inlineStr">
        <is>
          <t>Class A Common Stock Shares Out</t>
        </is>
      </c>
      <c r="B54" s="116" t="n">
        <v>77.65943</v>
      </c>
    </row>
    <row r="55">
      <c r="A55" s="107" t="inlineStr">
        <is>
          <t>* Class A Common Stock Share Price</t>
        </is>
      </c>
      <c r="B55" s="116" t="n">
        <v>27.98</v>
      </c>
    </row>
    <row r="56">
      <c r="A56" s="107" t="inlineStr">
        <is>
          <t>= Class A Common Stock Market Capitalization</t>
        </is>
      </c>
      <c r="B56" s="116" t="n">
        <v>2172.910851</v>
      </c>
    </row>
    <row r="57">
      <c r="A57" s="107" t="inlineStr">
        <is>
          <t>+ Class B Common Stock Shares Out</t>
        </is>
      </c>
      <c r="B57" s="116" t="n">
        <v>3.846183</v>
      </c>
    </row>
    <row r="58">
      <c r="A58" s="107" t="inlineStr">
        <is>
          <t>* Class B Common Stock Share Price</t>
        </is>
      </c>
      <c r="B58" s="116" t="n">
        <v>27.98</v>
      </c>
    </row>
    <row r="59">
      <c r="A59" s="107" t="inlineStr">
        <is>
          <t>= Class B Common Stock Market Capitalization</t>
        </is>
      </c>
      <c r="B59" s="116" t="n">
        <v>107.6162</v>
      </c>
    </row>
    <row r="60">
      <c r="A60" s="107" t="inlineStr">
        <is>
          <t>+ Class C Common Stock Shares Out</t>
        </is>
      </c>
      <c r="B60" s="116" t="n">
        <v>0</v>
      </c>
    </row>
    <row r="61">
      <c r="A61" s="107" t="inlineStr">
        <is>
          <t>* Class C Common Stock Share Price</t>
        </is>
      </c>
      <c r="B61" s="116" t="n">
        <v>27.98</v>
      </c>
    </row>
    <row r="62">
      <c r="A62" s="107" t="inlineStr">
        <is>
          <t>= Class C Common Stock Market Capitalization</t>
        </is>
      </c>
      <c r="B62" s="116" t="n">
        <v>0</v>
      </c>
    </row>
    <row r="63">
      <c r="A63" s="107" t="inlineStr">
        <is>
          <t>- Cash &amp; Short Term Investments</t>
        </is>
      </c>
      <c r="B63" s="116" t="n">
        <v>335.915</v>
      </c>
    </row>
    <row r="64">
      <c r="A64" s="107" t="inlineStr">
        <is>
          <t>+ Total Debt</t>
        </is>
      </c>
      <c r="B64" s="116" t="n">
        <v>18.025</v>
      </c>
    </row>
    <row r="65" ht="12" customHeight="1" s="240">
      <c r="A65" s="107" t="inlineStr">
        <is>
          <t>+ Pref. Equity</t>
        </is>
      </c>
      <c r="B65" s="116" t="inlineStr">
        <is>
          <t>-</t>
        </is>
      </c>
    </row>
    <row r="66" ht="12" customHeight="1" s="240">
      <c r="A66" s="107" t="inlineStr">
        <is>
          <t>+ Total Minority Interest</t>
        </is>
      </c>
      <c r="B66" s="116" t="inlineStr">
        <is>
          <t>-</t>
        </is>
      </c>
    </row>
    <row r="67" ht="12" customHeight="1" s="240">
      <c r="A67" s="107" t="inlineStr">
        <is>
          <t>- Long Term Marketable Securities</t>
        </is>
      </c>
      <c r="B67" s="116" t="inlineStr">
        <is>
          <t>-</t>
        </is>
      </c>
    </row>
    <row r="68">
      <c r="A68" s="115" t="inlineStr">
        <is>
          <t>= Total Enterprise Value (TEV)</t>
        </is>
      </c>
      <c r="B68" s="117" t="n">
        <v>1962.637051</v>
      </c>
    </row>
    <row r="69">
      <c r="A69" s="107" t="n"/>
      <c r="B69" s="107" t="n"/>
    </row>
    <row r="70">
      <c r="A70" s="107" t="inlineStr">
        <is>
          <t>Book Value of Common Equity</t>
        </is>
      </c>
      <c r="B70" s="116" t="n">
        <v>618.309</v>
      </c>
    </row>
    <row r="71" ht="12" customHeight="1" s="240">
      <c r="A71" s="107" t="inlineStr">
        <is>
          <t>+ Pref. Equity</t>
        </is>
      </c>
      <c r="B71" s="116" t="inlineStr">
        <is>
          <t>-</t>
        </is>
      </c>
    </row>
    <row r="72" ht="12" customHeight="1" s="240">
      <c r="A72" s="107" t="inlineStr">
        <is>
          <t>+ Total Minority Interest</t>
        </is>
      </c>
      <c r="B72" s="116" t="inlineStr">
        <is>
          <t>-</t>
        </is>
      </c>
    </row>
    <row r="73">
      <c r="A73" s="107" t="inlineStr">
        <is>
          <t>+ Total Debt</t>
        </is>
      </c>
      <c r="B73" s="116" t="n">
        <v>18.025</v>
      </c>
    </row>
    <row r="74">
      <c r="A74" s="115" t="inlineStr">
        <is>
          <t>= Total Capital</t>
        </is>
      </c>
      <c r="B74" s="117" t="n">
        <v>636.3339999999999</v>
      </c>
    </row>
    <row r="75">
      <c r="A75" s="107" t="n"/>
      <c r="B75" s="107" t="n"/>
    </row>
    <row r="76" ht="60" customHeight="1" s="240">
      <c r="A76" s="120" t="inlineStr">
        <is>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is>
      </c>
      <c r="B76" s="120" t="n"/>
    </row>
    <row r="78" ht="200" customHeight="1" s="240">
      <c r="A78" s="127" t="n"/>
    </row>
    <row r="79">
      <c r="A79" s="104" t="inlineStr">
        <is>
          <t>Note: Striped area represents the impact of negative Net Liability on Market Cap.</t>
        </is>
      </c>
    </row>
    <row r="80">
      <c r="A80" s="104" t="inlineStr">
        <is>
          <t>Total Liability includes Total Debt, Minority Interest and Pref. Equity.</t>
        </is>
      </c>
    </row>
    <row r="81">
      <c r="A81" s="104" t="inlineStr">
        <is>
          <t>Net Liability includes Total Liability, net of Cash and Short Term Investments.</t>
        </is>
      </c>
    </row>
    <row r="82">
      <c r="A82" s="104" t="inlineStr">
        <is>
          <t>TEV includes Market Cap and Net Liability.</t>
        </is>
      </c>
    </row>
    <row r="83">
      <c r="A83" s="104" t="inlineStr">
        <is>
          <t>Total Capital includes Common Equity and Total Liability.</t>
        </is>
      </c>
    </row>
    <row r="85">
      <c r="A85" s="109" t="inlineStr">
        <is>
          <t>Valuation Multiples based on Current Capitalization</t>
        </is>
      </c>
      <c r="B85" s="109" t="n"/>
      <c r="C85" s="109" t="n"/>
      <c r="D85" s="109" t="n"/>
      <c r="E85" s="109" t="n"/>
      <c r="F85" s="109" t="n"/>
      <c r="I85" s="110" t="n"/>
      <c r="J85" s="110" t="n"/>
      <c r="K85" s="110" t="n"/>
      <c r="L85" s="110" t="n"/>
      <c r="M85" s="110" t="n"/>
      <c r="N85" s="110" t="n"/>
      <c r="O85" s="110" t="n"/>
      <c r="P85" s="110" t="n"/>
      <c r="Q85" s="110" t="n"/>
      <c r="R85" s="110" t="n"/>
      <c r="S85" s="110" t="n"/>
      <c r="T85" s="110" t="n"/>
      <c r="U85" s="110" t="n"/>
      <c r="V85" s="110" t="n"/>
      <c r="W85" s="110" t="n"/>
      <c r="X85" s="110" t="n"/>
      <c r="Y85" s="110" t="n"/>
      <c r="Z85" s="110" t="n"/>
      <c r="AA85" s="110" t="n"/>
      <c r="AB85" s="110" t="n"/>
      <c r="AC85" s="110" t="n"/>
      <c r="AD85" s="110" t="n"/>
      <c r="AE85" s="110" t="n"/>
      <c r="AF85" s="110" t="n"/>
      <c r="AG85" s="110" t="n"/>
      <c r="AH85" s="110" t="n"/>
      <c r="AI85" s="110" t="n"/>
      <c r="AJ85" s="110" t="n"/>
      <c r="AK85" s="110" t="n"/>
      <c r="AL85" s="110" t="n"/>
      <c r="AM85" s="110" t="n"/>
      <c r="AN85" s="110" t="n"/>
      <c r="AO85" s="110" t="n"/>
      <c r="AP85" s="110" t="n"/>
      <c r="AQ85" s="110" t="n"/>
      <c r="AR85" s="110" t="n"/>
      <c r="AS85" s="110" t="n"/>
      <c r="AT85" s="110" t="n"/>
      <c r="AU85" s="110" t="n"/>
      <c r="AV85" s="110" t="n"/>
      <c r="AW85" s="110" t="n"/>
      <c r="AX85" s="110" t="n"/>
      <c r="AY85" s="110" t="n"/>
      <c r="AZ85" s="110" t="n"/>
      <c r="BA85" s="110" t="n"/>
      <c r="BB85" s="110" t="n"/>
      <c r="BC85" s="110" t="n"/>
      <c r="BD85" s="110" t="n"/>
      <c r="BE85" s="110" t="n"/>
      <c r="BF85" s="110" t="n"/>
      <c r="BG85" s="110" t="n"/>
      <c r="BH85" s="110" t="n"/>
      <c r="BI85" s="110" t="n"/>
      <c r="BJ85" s="110" t="n"/>
      <c r="BK85" s="110" t="n"/>
      <c r="BL85" s="110" t="n"/>
      <c r="BM85" s="110" t="n"/>
      <c r="BN85" s="110" t="n"/>
      <c r="BO85" s="110" t="n"/>
      <c r="BP85" s="110" t="n"/>
      <c r="BQ85" s="110" t="n"/>
      <c r="BR85" s="110" t="n"/>
      <c r="BS85" s="110" t="n"/>
      <c r="BT85" s="110" t="n"/>
      <c r="BU85" s="110" t="n"/>
      <c r="BV85" s="110" t="n"/>
      <c r="BW85" s="110" t="n"/>
      <c r="BX85" s="110" t="n"/>
      <c r="BY85" s="110" t="n"/>
      <c r="BZ85" s="110" t="n"/>
      <c r="CA85" s="110" t="n"/>
      <c r="CB85" s="110" t="n"/>
      <c r="CC85" s="110" t="n"/>
      <c r="CD85" s="110" t="n"/>
      <c r="CE85" s="110" t="n"/>
      <c r="CF85" s="110" t="n"/>
      <c r="CG85" s="110" t="n"/>
      <c r="CH85" s="110" t="n"/>
      <c r="CI85" s="110" t="n"/>
      <c r="CJ85" s="110" t="n"/>
      <c r="CK85" s="110" t="n"/>
      <c r="CL85" s="110" t="n"/>
      <c r="CM85" s="110" t="n"/>
      <c r="CN85" s="110" t="n"/>
      <c r="CO85" s="110" t="n"/>
      <c r="CP85" s="110" t="n"/>
      <c r="CQ85" s="110" t="n"/>
      <c r="CR85" s="110" t="n"/>
      <c r="CS85" s="110" t="n"/>
      <c r="CT85" s="110" t="n"/>
      <c r="CU85" s="110" t="n"/>
      <c r="CV85" s="110" t="n"/>
      <c r="CW85" s="110" t="n"/>
      <c r="CX85" s="110" t="n"/>
      <c r="CY85" s="110" t="n"/>
      <c r="CZ85" s="110" t="n"/>
      <c r="DA85" s="110" t="n"/>
      <c r="DB85" s="110" t="n"/>
      <c r="DC85" s="110" t="n"/>
      <c r="DD85" s="110" t="n"/>
      <c r="DE85" s="110" t="n"/>
      <c r="DF85" s="110" t="n"/>
      <c r="DG85" s="110" t="n"/>
      <c r="DH85" s="110" t="n"/>
      <c r="DI85" s="110" t="n"/>
      <c r="DJ85" s="110" t="n"/>
      <c r="DK85" s="110" t="n"/>
      <c r="DL85" s="110" t="n"/>
      <c r="DM85" s="110" t="n"/>
      <c r="DN85" s="110" t="n"/>
      <c r="DO85" s="110" t="n"/>
      <c r="DP85" s="110" t="n"/>
      <c r="DQ85" s="110" t="n"/>
      <c r="DR85" s="110" t="n"/>
      <c r="DS85" s="110" t="n"/>
      <c r="DT85" s="110" t="n"/>
      <c r="DU85" s="110" t="n"/>
      <c r="DV85" s="110" t="n"/>
      <c r="DW85" s="110" t="n"/>
      <c r="DX85" s="110" t="n"/>
      <c r="DY85" s="110" t="n"/>
      <c r="DZ85" s="110" t="n"/>
      <c r="EA85" s="110" t="n"/>
      <c r="EB85" s="110" t="n"/>
      <c r="EC85" s="110" t="n"/>
      <c r="ED85" s="110" t="n"/>
      <c r="EE85" s="110" t="n"/>
      <c r="EF85" s="110" t="n"/>
      <c r="EG85" s="110" t="n"/>
      <c r="EH85" s="110" t="n"/>
      <c r="EI85" s="110" t="n"/>
      <c r="EJ85" s="110" t="n"/>
      <c r="EK85" s="110" t="n"/>
      <c r="EL85" s="110" t="n"/>
      <c r="EM85" s="110" t="n"/>
      <c r="EN85" s="110" t="n"/>
      <c r="EO85" s="110" t="n"/>
      <c r="EP85" s="110" t="n"/>
      <c r="EQ85" s="110" t="n"/>
      <c r="ER85" s="110" t="n"/>
      <c r="ES85" s="110" t="n"/>
      <c r="ET85" s="110" t="n"/>
      <c r="EU85" s="110" t="n"/>
      <c r="EV85" s="110" t="n"/>
      <c r="EW85" s="110" t="n"/>
      <c r="EX85" s="110" t="n"/>
      <c r="EY85" s="110" t="n"/>
      <c r="EZ85" s="110" t="n"/>
      <c r="FA85" s="110" t="n"/>
      <c r="FB85" s="110" t="n"/>
      <c r="FC85" s="110" t="n"/>
      <c r="FD85" s="110" t="n"/>
      <c r="FE85" s="110" t="n"/>
      <c r="FF85" s="110" t="n"/>
      <c r="FG85" s="110" t="n"/>
      <c r="FH85" s="110" t="n"/>
      <c r="FI85" s="110" t="n"/>
      <c r="FJ85" s="110" t="n"/>
      <c r="FK85" s="110" t="n"/>
      <c r="FL85" s="110" t="n"/>
      <c r="FM85" s="110" t="n"/>
      <c r="FN85" s="110" t="n"/>
      <c r="FO85" s="110" t="n"/>
      <c r="FP85" s="110" t="n"/>
      <c r="FQ85" s="110" t="n"/>
      <c r="FR85" s="110" t="n"/>
      <c r="FS85" s="110" t="n"/>
      <c r="FT85" s="110" t="n"/>
      <c r="FU85" s="110" t="n"/>
      <c r="FV85" s="110" t="n"/>
      <c r="FW85" s="110" t="n"/>
      <c r="FX85" s="110" t="n"/>
      <c r="FY85" s="110" t="n"/>
      <c r="FZ85" s="110" t="n"/>
      <c r="GA85" s="110" t="n"/>
      <c r="GB85" s="110" t="n"/>
      <c r="GC85" s="110" t="n"/>
      <c r="GD85" s="110" t="n"/>
      <c r="GE85" s="110" t="n"/>
      <c r="GF85" s="110" t="n"/>
      <c r="GG85" s="110" t="n"/>
      <c r="GH85" s="110" t="n"/>
      <c r="GI85" s="110" t="n"/>
      <c r="GJ85" s="110" t="n"/>
      <c r="GK85" s="110" t="n"/>
      <c r="GL85" s="110" t="n"/>
      <c r="GM85" s="110" t="n"/>
      <c r="GN85" s="110" t="n"/>
      <c r="GO85" s="110" t="n"/>
      <c r="GP85" s="110" t="n"/>
      <c r="GQ85" s="110" t="n"/>
      <c r="GR85" s="110" t="n"/>
      <c r="GS85" s="110" t="n"/>
      <c r="GT85" s="110" t="n"/>
      <c r="GU85" s="110" t="n"/>
      <c r="GV85" s="110" t="n"/>
      <c r="GW85" s="110" t="n"/>
      <c r="GX85" s="110" t="n"/>
      <c r="GY85" s="110" t="n"/>
      <c r="GZ85" s="110" t="n"/>
      <c r="HA85" s="110" t="n"/>
      <c r="HB85" s="110" t="n"/>
      <c r="HC85" s="110" t="n"/>
      <c r="HD85" s="110" t="n"/>
      <c r="HE85" s="110" t="n"/>
      <c r="HF85" s="110" t="n"/>
      <c r="HG85" s="110" t="n"/>
      <c r="HH85" s="110" t="n"/>
      <c r="HI85" s="110" t="n"/>
      <c r="HJ85" s="110" t="n"/>
      <c r="HK85" s="110" t="n"/>
      <c r="HL85" s="110" t="n"/>
      <c r="HM85" s="110" t="n"/>
      <c r="HN85" s="110" t="n"/>
      <c r="HO85" s="110" t="n"/>
      <c r="HP85" s="110" t="n"/>
      <c r="HQ85" s="110" t="n"/>
      <c r="HR85" s="110" t="n"/>
      <c r="HS85" s="110" t="n"/>
      <c r="HT85" s="110" t="n"/>
      <c r="HU85" s="110" t="n"/>
      <c r="HV85" s="110" t="n"/>
      <c r="HW85" s="110" t="n"/>
      <c r="HX85" s="110" t="n"/>
      <c r="HY85" s="110" t="n"/>
      <c r="HZ85" s="110" t="n"/>
      <c r="IA85" s="110" t="n"/>
      <c r="IB85" s="110" t="n"/>
      <c r="IC85" s="110" t="n"/>
      <c r="ID85" s="110" t="n"/>
      <c r="IE85" s="110" t="n"/>
      <c r="IF85" s="110" t="n"/>
      <c r="IG85" s="110" t="n"/>
      <c r="IH85" s="110" t="n"/>
      <c r="II85" s="110" t="n"/>
      <c r="IJ85" s="110" t="n"/>
      <c r="IK85" s="110" t="n"/>
      <c r="IL85" s="110" t="n"/>
      <c r="IM85" s="110" t="n"/>
      <c r="IN85" s="110" t="n"/>
      <c r="IO85" s="110" t="n"/>
      <c r="IP85" s="110" t="n"/>
      <c r="IQ85" s="110" t="n"/>
      <c r="IR85" s="110" t="n"/>
      <c r="IS85" s="110" t="n"/>
      <c r="IT85" s="110" t="n"/>
      <c r="IU85" s="110" t="n"/>
    </row>
    <row r="86" ht="36" customHeight="1" s="240">
      <c r="A86" s="111" t="inlineStr">
        <is>
          <t xml:space="preserve">For the Fiscal Period Ending
</t>
        </is>
      </c>
      <c r="B86" s="112" t="inlineStr">
        <is>
          <t>12 months
Dec-31-2025A</t>
        </is>
      </c>
      <c r="C86" s="112" t="inlineStr">
        <is>
          <t>LTM
12 months
Jun-30-2026A</t>
        </is>
      </c>
      <c r="D86" s="112" t="inlineStr">
        <is>
          <t>12 months
Dec-31-2026E</t>
        </is>
      </c>
      <c r="E86" s="112" t="inlineStr">
        <is>
          <t>12 months
Dec-31-2027E</t>
        </is>
      </c>
      <c r="F86" s="112" t="inlineStr">
        <is>
          <t>12 months
Dec-31-2028E</t>
        </is>
      </c>
    </row>
    <row r="87">
      <c r="A87" s="115" t="inlineStr">
        <is>
          <t>TEV/Total Revenue</t>
        </is>
      </c>
      <c r="B87" s="276" t="n">
        <v>4.440653</v>
      </c>
      <c r="C87" s="276" t="n">
        <v>3.991509</v>
      </c>
      <c r="D87" s="277" t="n">
        <v>3.557191958158</v>
      </c>
      <c r="E87" s="277" t="n">
        <v>2.911754542361</v>
      </c>
      <c r="F87" s="277" t="n">
        <v>2.411048891306</v>
      </c>
    </row>
    <row r="88">
      <c r="A88" s="107" t="n"/>
      <c r="B88" s="107" t="n"/>
      <c r="C88" s="107" t="n"/>
      <c r="D88" s="107" t="n"/>
      <c r="E88" s="107" t="n"/>
      <c r="F88" s="107" t="n"/>
    </row>
    <row r="89" ht="12" customHeight="1" s="240">
      <c r="A89" s="115" t="inlineStr">
        <is>
          <t>TEV/EBITDA</t>
        </is>
      </c>
      <c r="B89" s="119" t="inlineStr">
        <is>
          <t>NM</t>
        </is>
      </c>
      <c r="C89" s="119" t="inlineStr">
        <is>
          <t>NM</t>
        </is>
      </c>
      <c r="D89" s="119" t="inlineStr">
        <is>
          <t>-</t>
        </is>
      </c>
      <c r="E89" s="277" t="n">
        <v>65.27284811661499</v>
      </c>
      <c r="F89" s="277" t="n">
        <v>29.09625200828</v>
      </c>
    </row>
    <row r="90">
      <c r="A90" s="107" t="n"/>
      <c r="B90" s="107" t="n"/>
      <c r="C90" s="107" t="n"/>
      <c r="D90" s="107" t="n"/>
      <c r="E90" s="107" t="n"/>
      <c r="F90" s="107" t="n"/>
    </row>
    <row r="91" ht="12" customHeight="1" s="240">
      <c r="A91" s="115" t="inlineStr">
        <is>
          <t>TEV/EBIT</t>
        </is>
      </c>
      <c r="B91" s="119" t="inlineStr">
        <is>
          <t>NM</t>
        </is>
      </c>
      <c r="C91" s="119" t="inlineStr">
        <is>
          <t>NM</t>
        </is>
      </c>
      <c r="D91" s="119" t="inlineStr">
        <is>
          <t>-</t>
        </is>
      </c>
      <c r="E91" s="119" t="inlineStr">
        <is>
          <t>-</t>
        </is>
      </c>
      <c r="F91" s="119" t="inlineStr">
        <is>
          <t>-</t>
        </is>
      </c>
    </row>
    <row r="92">
      <c r="A92" s="107" t="n"/>
      <c r="B92" s="107" t="n"/>
      <c r="C92" s="107" t="n"/>
      <c r="D92" s="107" t="n"/>
      <c r="E92" s="107" t="n"/>
      <c r="F92" s="107" t="n"/>
    </row>
    <row r="93" ht="12" customHeight="1" s="240">
      <c r="A93" s="115" t="inlineStr">
        <is>
          <t>P/Diluted EPS Before Extra</t>
        </is>
      </c>
      <c r="B93" s="119" t="inlineStr">
        <is>
          <t>NM</t>
        </is>
      </c>
      <c r="C93" s="119" t="inlineStr">
        <is>
          <t>NM</t>
        </is>
      </c>
      <c r="D93" s="119" t="inlineStr">
        <is>
          <t>-</t>
        </is>
      </c>
      <c r="E93" s="277" t="n">
        <v>65.098531909448</v>
      </c>
      <c r="F93" s="277" t="n">
        <v>35.137069734149</v>
      </c>
    </row>
    <row r="94">
      <c r="A94" s="107" t="n"/>
      <c r="B94" s="107" t="n"/>
      <c r="C94" s="107" t="n"/>
      <c r="D94" s="107" t="n"/>
      <c r="E94" s="107" t="n"/>
      <c r="F94" s="107" t="n"/>
    </row>
    <row r="95">
      <c r="A95" s="115" t="inlineStr">
        <is>
          <t>P/BV</t>
        </is>
      </c>
      <c r="B95" s="276" t="n">
        <v>3.615879</v>
      </c>
      <c r="C95" s="276" t="n">
        <v>3.685557</v>
      </c>
      <c r="D95" s="277" t="n">
        <v>3.684080243955</v>
      </c>
      <c r="E95" s="277" t="n">
        <v>3.40017839392</v>
      </c>
      <c r="F95" s="277" t="n">
        <v>3.035932068036</v>
      </c>
    </row>
    <row r="96">
      <c r="A96" s="107" t="n"/>
      <c r="B96" s="107" t="n"/>
      <c r="C96" s="107" t="n"/>
      <c r="D96" s="107" t="n"/>
      <c r="E96" s="107" t="n"/>
      <c r="F96" s="107" t="n"/>
    </row>
    <row r="97" ht="12" customHeight="1" s="240">
      <c r="A97" s="115" t="inlineStr">
        <is>
          <t>Price/Tang BV</t>
        </is>
      </c>
      <c r="B97" s="276" t="n">
        <v>5.682983</v>
      </c>
      <c r="C97" s="276" t="n">
        <v>5.774732</v>
      </c>
      <c r="D97" s="119" t="inlineStr">
        <is>
          <t>-</t>
        </is>
      </c>
      <c r="E97" s="119" t="inlineStr">
        <is>
          <t>-</t>
        </is>
      </c>
      <c r="F97" s="119" t="inlineStr">
        <is>
          <t>-</t>
        </is>
      </c>
    </row>
    <row r="98">
      <c r="A98" s="107" t="n"/>
      <c r="B98" s="107" t="n"/>
      <c r="C98" s="107" t="n"/>
      <c r="D98" s="107" t="n"/>
      <c r="E98" s="107" t="n"/>
      <c r="F98" s="107" t="n"/>
    </row>
    <row r="99">
      <c r="A99" s="120" t="n"/>
      <c r="B99" s="120" t="n"/>
      <c r="C99" s="120" t="n"/>
      <c r="D99" s="120" t="n"/>
      <c r="E99" s="120" t="n"/>
      <c r="F99" s="120" t="n"/>
    </row>
    <row r="100">
      <c r="A100" s="121" t="inlineStr"/>
    </row>
  </sheetData>
  <pageMargins left="0.2" right="0.2" top="0.5" bottom="0.5" header="0.5" footer="0.5"/>
  <pageSetup orientation="landscape" fitToHeight="0" fitToWidth="0" horizontalDpi="0" verticalDpi="0"/>
</worksheet>
</file>

<file path=xl/worksheets/sheet8.xml><?xml version="1.0" encoding="utf-8"?>
<worksheet xmlns="http://schemas.openxmlformats.org/spreadsheetml/2006/main">
  <sheetPr>
    <outlinePr summaryBelow="0" summaryRight="0"/>
    <pageSetUpPr autoPageBreaks="0"/>
  </sheetPr>
  <dimension ref="A1:IU100"/>
  <sheetViews>
    <sheetView workbookViewId="0">
      <selection activeCell="J18" sqref="J18"/>
    </sheetView>
  </sheetViews>
  <sheetFormatPr baseColWidth="10" defaultColWidth="8.83203125" defaultRowHeight="11"/>
  <cols>
    <col width="45.83203125" customWidth="1" style="104" min="1" max="1"/>
    <col width="14.83203125" customWidth="1" style="104" min="2" max="7"/>
    <col width="8.83203125" customWidth="1" style="104" min="8" max="256"/>
    <col width="45.83203125" customWidth="1" style="104" min="257" max="257"/>
    <col width="14.83203125" customWidth="1" style="104" min="258" max="263"/>
    <col width="8.83203125" customWidth="1" style="104" min="264" max="512"/>
    <col width="45.83203125" customWidth="1" style="104" min="513" max="513"/>
    <col width="14.83203125" customWidth="1" style="104" min="514" max="519"/>
    <col width="8.83203125" customWidth="1" style="104" min="520" max="768"/>
    <col width="45.83203125" customWidth="1" style="104" min="769" max="769"/>
    <col width="14.83203125" customWidth="1" style="104" min="770" max="775"/>
    <col width="8.83203125" customWidth="1" style="104" min="776" max="1024"/>
    <col width="45.83203125" customWidth="1" style="104" min="1025" max="1025"/>
    <col width="14.83203125" customWidth="1" style="104" min="1026" max="1031"/>
    <col width="8.83203125" customWidth="1" style="104" min="1032" max="1280"/>
    <col width="45.83203125" customWidth="1" style="104" min="1281" max="1281"/>
    <col width="14.83203125" customWidth="1" style="104" min="1282" max="1287"/>
    <col width="8.83203125" customWidth="1" style="104" min="1288" max="1536"/>
    <col width="45.83203125" customWidth="1" style="104" min="1537" max="1537"/>
    <col width="14.83203125" customWidth="1" style="104" min="1538" max="1543"/>
    <col width="8.83203125" customWidth="1" style="104" min="1544" max="1792"/>
    <col width="45.83203125" customWidth="1" style="104" min="1793" max="1793"/>
    <col width="14.83203125" customWidth="1" style="104" min="1794" max="1799"/>
    <col width="8.83203125" customWidth="1" style="104" min="1800" max="2048"/>
    <col width="45.83203125" customWidth="1" style="104" min="2049" max="2049"/>
    <col width="14.83203125" customWidth="1" style="104" min="2050" max="2055"/>
    <col width="8.83203125" customWidth="1" style="104" min="2056" max="2304"/>
    <col width="45.83203125" customWidth="1" style="104" min="2305" max="2305"/>
    <col width="14.83203125" customWidth="1" style="104" min="2306" max="2311"/>
    <col width="8.83203125" customWidth="1" style="104" min="2312" max="2560"/>
    <col width="45.83203125" customWidth="1" style="104" min="2561" max="2561"/>
    <col width="14.83203125" customWidth="1" style="104" min="2562" max="2567"/>
    <col width="8.83203125" customWidth="1" style="104" min="2568" max="2816"/>
    <col width="45.83203125" customWidth="1" style="104" min="2817" max="2817"/>
    <col width="14.83203125" customWidth="1" style="104" min="2818" max="2823"/>
    <col width="8.83203125" customWidth="1" style="104" min="2824" max="3072"/>
    <col width="45.83203125" customWidth="1" style="104" min="3073" max="3073"/>
    <col width="14.83203125" customWidth="1" style="104" min="3074" max="3079"/>
    <col width="8.83203125" customWidth="1" style="104" min="3080" max="3328"/>
    <col width="45.83203125" customWidth="1" style="104" min="3329" max="3329"/>
    <col width="14.83203125" customWidth="1" style="104" min="3330" max="3335"/>
    <col width="8.83203125" customWidth="1" style="104" min="3336" max="3584"/>
    <col width="45.83203125" customWidth="1" style="104" min="3585" max="3585"/>
    <col width="14.83203125" customWidth="1" style="104" min="3586" max="3591"/>
    <col width="8.83203125" customWidth="1" style="104" min="3592" max="3840"/>
    <col width="45.83203125" customWidth="1" style="104" min="3841" max="3841"/>
    <col width="14.83203125" customWidth="1" style="104" min="3842" max="3847"/>
    <col width="8.83203125" customWidth="1" style="104" min="3848" max="4096"/>
    <col width="45.83203125" customWidth="1" style="104" min="4097" max="4097"/>
    <col width="14.83203125" customWidth="1" style="104" min="4098" max="4103"/>
    <col width="8.83203125" customWidth="1" style="104" min="4104" max="4352"/>
    <col width="45.83203125" customWidth="1" style="104" min="4353" max="4353"/>
    <col width="14.83203125" customWidth="1" style="104" min="4354" max="4359"/>
    <col width="8.83203125" customWidth="1" style="104" min="4360" max="4608"/>
    <col width="45.83203125" customWidth="1" style="104" min="4609" max="4609"/>
    <col width="14.83203125" customWidth="1" style="104" min="4610" max="4615"/>
    <col width="8.83203125" customWidth="1" style="104" min="4616" max="4864"/>
    <col width="45.83203125" customWidth="1" style="104" min="4865" max="4865"/>
    <col width="14.83203125" customWidth="1" style="104" min="4866" max="4871"/>
    <col width="8.83203125" customWidth="1" style="104" min="4872" max="5120"/>
    <col width="45.83203125" customWidth="1" style="104" min="5121" max="5121"/>
    <col width="14.83203125" customWidth="1" style="104" min="5122" max="5127"/>
    <col width="8.83203125" customWidth="1" style="104" min="5128" max="5376"/>
    <col width="45.83203125" customWidth="1" style="104" min="5377" max="5377"/>
    <col width="14.83203125" customWidth="1" style="104" min="5378" max="5383"/>
    <col width="8.83203125" customWidth="1" style="104" min="5384" max="5632"/>
    <col width="45.83203125" customWidth="1" style="104" min="5633" max="5633"/>
    <col width="14.83203125" customWidth="1" style="104" min="5634" max="5639"/>
    <col width="8.83203125" customWidth="1" style="104" min="5640" max="5888"/>
    <col width="45.83203125" customWidth="1" style="104" min="5889" max="5889"/>
    <col width="14.83203125" customWidth="1" style="104" min="5890" max="5895"/>
    <col width="8.83203125" customWidth="1" style="104" min="5896" max="6144"/>
    <col width="45.83203125" customWidth="1" style="104" min="6145" max="6145"/>
    <col width="14.83203125" customWidth="1" style="104" min="6146" max="6151"/>
    <col width="8.83203125" customWidth="1" style="104" min="6152" max="6400"/>
    <col width="45.83203125" customWidth="1" style="104" min="6401" max="6401"/>
    <col width="14.83203125" customWidth="1" style="104" min="6402" max="6407"/>
    <col width="8.83203125" customWidth="1" style="104" min="6408" max="6656"/>
    <col width="45.83203125" customWidth="1" style="104" min="6657" max="6657"/>
    <col width="14.83203125" customWidth="1" style="104" min="6658" max="6663"/>
    <col width="8.83203125" customWidth="1" style="104" min="6664" max="6912"/>
    <col width="45.83203125" customWidth="1" style="104" min="6913" max="6913"/>
    <col width="14.83203125" customWidth="1" style="104" min="6914" max="6919"/>
    <col width="8.83203125" customWidth="1" style="104" min="6920" max="7168"/>
    <col width="45.83203125" customWidth="1" style="104" min="7169" max="7169"/>
    <col width="14.83203125" customWidth="1" style="104" min="7170" max="7175"/>
    <col width="8.83203125" customWidth="1" style="104" min="7176" max="7424"/>
    <col width="45.83203125" customWidth="1" style="104" min="7425" max="7425"/>
    <col width="14.83203125" customWidth="1" style="104" min="7426" max="7431"/>
    <col width="8.83203125" customWidth="1" style="104" min="7432" max="7680"/>
    <col width="45.83203125" customWidth="1" style="104" min="7681" max="7681"/>
    <col width="14.83203125" customWidth="1" style="104" min="7682" max="7687"/>
    <col width="8.83203125" customWidth="1" style="104" min="7688" max="7936"/>
    <col width="45.83203125" customWidth="1" style="104" min="7937" max="7937"/>
    <col width="14.83203125" customWidth="1" style="104" min="7938" max="7943"/>
    <col width="8.83203125" customWidth="1" style="104" min="7944" max="8192"/>
    <col width="45.83203125" customWidth="1" style="104" min="8193" max="8193"/>
    <col width="14.83203125" customWidth="1" style="104" min="8194" max="8199"/>
    <col width="8.83203125" customWidth="1" style="104" min="8200" max="8448"/>
    <col width="45.83203125" customWidth="1" style="104" min="8449" max="8449"/>
    <col width="14.83203125" customWidth="1" style="104" min="8450" max="8455"/>
    <col width="8.83203125" customWidth="1" style="104" min="8456" max="8704"/>
    <col width="45.83203125" customWidth="1" style="104" min="8705" max="8705"/>
    <col width="14.83203125" customWidth="1" style="104" min="8706" max="8711"/>
    <col width="8.83203125" customWidth="1" style="104" min="8712" max="8960"/>
    <col width="45.83203125" customWidth="1" style="104" min="8961" max="8961"/>
    <col width="14.83203125" customWidth="1" style="104" min="8962" max="8967"/>
    <col width="8.83203125" customWidth="1" style="104" min="8968" max="9216"/>
    <col width="45.83203125" customWidth="1" style="104" min="9217" max="9217"/>
    <col width="14.83203125" customWidth="1" style="104" min="9218" max="9223"/>
    <col width="8.83203125" customWidth="1" style="104" min="9224" max="9472"/>
    <col width="45.83203125" customWidth="1" style="104" min="9473" max="9473"/>
    <col width="14.83203125" customWidth="1" style="104" min="9474" max="9479"/>
    <col width="8.83203125" customWidth="1" style="104" min="9480" max="9728"/>
    <col width="45.83203125" customWidth="1" style="104" min="9729" max="9729"/>
    <col width="14.83203125" customWidth="1" style="104" min="9730" max="9735"/>
    <col width="8.83203125" customWidth="1" style="104" min="9736" max="9984"/>
    <col width="45.83203125" customWidth="1" style="104" min="9985" max="9985"/>
    <col width="14.83203125" customWidth="1" style="104" min="9986" max="9991"/>
    <col width="8.83203125" customWidth="1" style="104" min="9992" max="10240"/>
    <col width="45.83203125" customWidth="1" style="104" min="10241" max="10241"/>
    <col width="14.83203125" customWidth="1" style="104" min="10242" max="10247"/>
    <col width="8.83203125" customWidth="1" style="104" min="10248" max="10496"/>
    <col width="45.83203125" customWidth="1" style="104" min="10497" max="10497"/>
    <col width="14.83203125" customWidth="1" style="104" min="10498" max="10503"/>
    <col width="8.83203125" customWidth="1" style="104" min="10504" max="10752"/>
    <col width="45.83203125" customWidth="1" style="104" min="10753" max="10753"/>
    <col width="14.83203125" customWidth="1" style="104" min="10754" max="10759"/>
    <col width="8.83203125" customWidth="1" style="104" min="10760" max="11008"/>
    <col width="45.83203125" customWidth="1" style="104" min="11009" max="11009"/>
    <col width="14.83203125" customWidth="1" style="104" min="11010" max="11015"/>
    <col width="8.83203125" customWidth="1" style="104" min="11016" max="11264"/>
    <col width="45.83203125" customWidth="1" style="104" min="11265" max="11265"/>
    <col width="14.83203125" customWidth="1" style="104" min="11266" max="11271"/>
    <col width="8.83203125" customWidth="1" style="104" min="11272" max="11520"/>
    <col width="45.83203125" customWidth="1" style="104" min="11521" max="11521"/>
    <col width="14.83203125" customWidth="1" style="104" min="11522" max="11527"/>
    <col width="8.83203125" customWidth="1" style="104" min="11528" max="11776"/>
    <col width="45.83203125" customWidth="1" style="104" min="11777" max="11777"/>
    <col width="14.83203125" customWidth="1" style="104" min="11778" max="11783"/>
    <col width="8.83203125" customWidth="1" style="104" min="11784" max="12032"/>
    <col width="45.83203125" customWidth="1" style="104" min="12033" max="12033"/>
    <col width="14.83203125" customWidth="1" style="104" min="12034" max="12039"/>
    <col width="8.83203125" customWidth="1" style="104" min="12040" max="12288"/>
    <col width="45.83203125" customWidth="1" style="104" min="12289" max="12289"/>
    <col width="14.83203125" customWidth="1" style="104" min="12290" max="12295"/>
    <col width="8.83203125" customWidth="1" style="104" min="12296" max="12544"/>
    <col width="45.83203125" customWidth="1" style="104" min="12545" max="12545"/>
    <col width="14.83203125" customWidth="1" style="104" min="12546" max="12551"/>
    <col width="8.83203125" customWidth="1" style="104" min="12552" max="12800"/>
    <col width="45.83203125" customWidth="1" style="104" min="12801" max="12801"/>
    <col width="14.83203125" customWidth="1" style="104" min="12802" max="12807"/>
    <col width="8.83203125" customWidth="1" style="104" min="12808" max="13056"/>
    <col width="45.83203125" customWidth="1" style="104" min="13057" max="13057"/>
    <col width="14.83203125" customWidth="1" style="104" min="13058" max="13063"/>
    <col width="8.83203125" customWidth="1" style="104" min="13064" max="13312"/>
    <col width="45.83203125" customWidth="1" style="104" min="13313" max="13313"/>
    <col width="14.83203125" customWidth="1" style="104" min="13314" max="13319"/>
    <col width="8.83203125" customWidth="1" style="104" min="13320" max="13568"/>
    <col width="45.83203125" customWidth="1" style="104" min="13569" max="13569"/>
    <col width="14.83203125" customWidth="1" style="104" min="13570" max="13575"/>
    <col width="8.83203125" customWidth="1" style="104" min="13576" max="13824"/>
    <col width="45.83203125" customWidth="1" style="104" min="13825" max="13825"/>
    <col width="14.83203125" customWidth="1" style="104" min="13826" max="13831"/>
    <col width="8.83203125" customWidth="1" style="104" min="13832" max="14080"/>
    <col width="45.83203125" customWidth="1" style="104" min="14081" max="14081"/>
    <col width="14.83203125" customWidth="1" style="104" min="14082" max="14087"/>
    <col width="8.83203125" customWidth="1" style="104" min="14088" max="14336"/>
    <col width="45.83203125" customWidth="1" style="104" min="14337" max="14337"/>
    <col width="14.83203125" customWidth="1" style="104" min="14338" max="14343"/>
    <col width="8.83203125" customWidth="1" style="104" min="14344" max="14592"/>
    <col width="45.83203125" customWidth="1" style="104" min="14593" max="14593"/>
    <col width="14.83203125" customWidth="1" style="104" min="14594" max="14599"/>
    <col width="8.83203125" customWidth="1" style="104" min="14600" max="14848"/>
    <col width="45.83203125" customWidth="1" style="104" min="14849" max="14849"/>
    <col width="14.83203125" customWidth="1" style="104" min="14850" max="14855"/>
    <col width="8.83203125" customWidth="1" style="104" min="14856" max="15104"/>
    <col width="45.83203125" customWidth="1" style="104" min="15105" max="15105"/>
    <col width="14.83203125" customWidth="1" style="104" min="15106" max="15111"/>
    <col width="8.83203125" customWidth="1" style="104" min="15112" max="15360"/>
    <col width="45.83203125" customWidth="1" style="104" min="15361" max="15361"/>
    <col width="14.83203125" customWidth="1" style="104" min="15362" max="15367"/>
    <col width="8.83203125" customWidth="1" style="104" min="15368" max="15616"/>
    <col width="45.83203125" customWidth="1" style="104" min="15617" max="15617"/>
    <col width="14.83203125" customWidth="1" style="104" min="15618" max="15623"/>
    <col width="8.83203125" customWidth="1" style="104" min="15624" max="15872"/>
    <col width="45.83203125" customWidth="1" style="104" min="15873" max="15873"/>
    <col width="14.83203125" customWidth="1" style="104" min="15874" max="15879"/>
    <col width="8.83203125" customWidth="1" style="104" min="15880" max="16128"/>
    <col width="45.83203125" customWidth="1" style="104" min="16129" max="16129"/>
    <col width="14.83203125" customWidth="1" style="104" min="16130" max="16135"/>
    <col width="8.83203125" customWidth="1" style="104" min="16136" max="16384"/>
  </cols>
  <sheetData>
    <row r="1">
      <c r="A1" s="132" t="inlineStr">
        <is>
          <t>Income Statement</t>
        </is>
      </c>
      <c r="B1" s="132" t="n"/>
      <c r="C1" s="132" t="n"/>
      <c r="D1" s="132" t="n"/>
      <c r="E1" s="132" t="n"/>
      <c r="F1" s="132" t="n"/>
      <c r="G1" s="132" t="n"/>
      <c r="H1" s="134" t="n"/>
      <c r="I1" s="133" t="n"/>
    </row>
    <row r="2" ht="36" customHeight="1" s="240">
      <c r="A2" s="135" t="inlineStr">
        <is>
          <t xml:space="preserve">For the Fiscal Period Ending
</t>
        </is>
      </c>
      <c r="B2" s="136" t="inlineStr">
        <is>
          <t>3 months
Q1
Mar-31-2025</t>
        </is>
      </c>
      <c r="C2" s="136" t="inlineStr">
        <is>
          <t>3 months
Q2
Jun-30-2025</t>
        </is>
      </c>
      <c r="D2" s="136" t="inlineStr">
        <is>
          <t>3 months
Q3
Sep-30-2025</t>
        </is>
      </c>
      <c r="E2" s="136" t="inlineStr">
        <is>
          <t>3 months
Q4
Dec-31-2025</t>
        </is>
      </c>
      <c r="F2" s="136" t="inlineStr">
        <is>
          <t>3 months
Q1
Mar-31-2026</t>
        </is>
      </c>
      <c r="G2" s="136" t="inlineStr">
        <is>
          <t>3 months
Q2
Jun-30-2026</t>
        </is>
      </c>
      <c r="H2" s="133" t="n"/>
      <c r="I2" s="133" t="n"/>
    </row>
    <row r="3" ht="12" customHeight="1" s="240">
      <c r="A3" s="137" t="inlineStr">
        <is>
          <t>Currency</t>
        </is>
      </c>
      <c r="B3" s="138" t="inlineStr">
        <is>
          <t>USD</t>
        </is>
      </c>
      <c r="C3" s="138" t="inlineStr">
        <is>
          <t>USD</t>
        </is>
      </c>
      <c r="D3" s="138" t="inlineStr">
        <is>
          <t>USD</t>
        </is>
      </c>
      <c r="E3" s="138" t="inlineStr">
        <is>
          <t>USD</t>
        </is>
      </c>
      <c r="F3" s="138" t="inlineStr">
        <is>
          <t>USD</t>
        </is>
      </c>
      <c r="G3" s="138" t="inlineStr">
        <is>
          <t>USD</t>
        </is>
      </c>
      <c r="H3" s="133" t="n"/>
      <c r="I3" s="133" t="n"/>
    </row>
    <row r="4">
      <c r="A4" s="139" t="inlineStr"/>
      <c r="B4" s="140" t="n"/>
      <c r="C4" s="140" t="n"/>
      <c r="D4" s="140" t="n"/>
      <c r="E4" s="140" t="n"/>
      <c r="F4" s="140" t="n"/>
      <c r="G4" s="140" t="n"/>
      <c r="H4" s="133" t="n"/>
      <c r="I4" s="133" t="n"/>
    </row>
    <row r="5">
      <c r="A5" s="140" t="inlineStr">
        <is>
          <t>Revenue</t>
        </is>
      </c>
      <c r="B5" s="141" t="n">
        <v>98.642</v>
      </c>
      <c r="C5" s="141" t="n">
        <v>107.133</v>
      </c>
      <c r="D5" s="141" t="n">
        <v>109.653</v>
      </c>
      <c r="E5" s="141" t="n">
        <v>118.909</v>
      </c>
      <c r="F5" s="141" t="n">
        <v>127.434</v>
      </c>
      <c r="G5" s="141" t="n">
        <v>135.707</v>
      </c>
      <c r="H5" s="133" t="n"/>
      <c r="I5" s="133" t="n"/>
    </row>
    <row r="6" ht="12" customHeight="1" s="240">
      <c r="A6" s="140" t="inlineStr">
        <is>
          <t>Other Revenue</t>
        </is>
      </c>
      <c r="B6" s="141" t="inlineStr">
        <is>
          <t>-</t>
        </is>
      </c>
      <c r="C6" s="141" t="inlineStr">
        <is>
          <t>-</t>
        </is>
      </c>
      <c r="D6" s="141" t="inlineStr">
        <is>
          <t>-</t>
        </is>
      </c>
      <c r="E6" s="141" t="inlineStr">
        <is>
          <t>-</t>
        </is>
      </c>
      <c r="F6" s="141" t="inlineStr">
        <is>
          <t>-</t>
        </is>
      </c>
      <c r="G6" s="141" t="inlineStr">
        <is>
          <t>-</t>
        </is>
      </c>
      <c r="H6" s="133" t="n"/>
      <c r="I6" s="133" t="n"/>
    </row>
    <row r="7">
      <c r="A7" s="139" t="inlineStr">
        <is>
          <t xml:space="preserve">  Total Revenue</t>
        </is>
      </c>
      <c r="B7" s="142" t="n">
        <v>98.642</v>
      </c>
      <c r="C7" s="142" t="n">
        <v>107.133</v>
      </c>
      <c r="D7" s="142" t="n">
        <v>109.653</v>
      </c>
      <c r="E7" s="142" t="n">
        <v>118.909</v>
      </c>
      <c r="F7" s="142" t="n">
        <v>127.434</v>
      </c>
      <c r="G7" s="142" t="n">
        <v>135.707</v>
      </c>
      <c r="H7" s="133" t="n"/>
      <c r="I7" s="133" t="n"/>
    </row>
    <row r="8">
      <c r="A8" s="140" t="n"/>
      <c r="B8" s="140" t="n"/>
      <c r="C8" s="140" t="n"/>
      <c r="D8" s="140" t="n"/>
      <c r="E8" s="140" t="n"/>
      <c r="F8" s="140" t="n"/>
      <c r="G8" s="140" t="n"/>
      <c r="H8" s="133" t="n"/>
      <c r="I8" s="133" t="n"/>
    </row>
    <row r="9">
      <c r="A9" s="140" t="inlineStr">
        <is>
          <t>Cost Of Goods Sold</t>
        </is>
      </c>
      <c r="B9" s="141" t="n">
        <v>58.832</v>
      </c>
      <c r="C9" s="141" t="n">
        <v>65.182</v>
      </c>
      <c r="D9" s="141" t="n">
        <v>66.56699999999999</v>
      </c>
      <c r="E9" s="141" t="n">
        <v>71.953</v>
      </c>
      <c r="F9" s="141" t="n">
        <v>77.379</v>
      </c>
      <c r="G9" s="141" t="n">
        <v>80.101</v>
      </c>
      <c r="H9" s="133" t="n"/>
      <c r="I9" s="133" t="n"/>
    </row>
    <row r="10">
      <c r="A10" s="139" t="inlineStr">
        <is>
          <t xml:space="preserve">  Gross Profit</t>
        </is>
      </c>
      <c r="B10" s="142" t="n">
        <v>39.81</v>
      </c>
      <c r="C10" s="142" t="n">
        <v>41.951</v>
      </c>
      <c r="D10" s="142" t="n">
        <v>43.086</v>
      </c>
      <c r="E10" s="142" t="n">
        <v>46.956</v>
      </c>
      <c r="F10" s="142" t="n">
        <v>50.055</v>
      </c>
      <c r="G10" s="142" t="n">
        <v>55.606</v>
      </c>
      <c r="H10" s="133" t="n"/>
      <c r="I10" s="133" t="n"/>
    </row>
    <row r="11">
      <c r="A11" s="140" t="n"/>
      <c r="B11" s="140" t="n"/>
      <c r="C11" s="140" t="n"/>
      <c r="D11" s="140" t="n"/>
      <c r="E11" s="140" t="n"/>
      <c r="F11" s="140" t="n"/>
      <c r="G11" s="140" t="n"/>
      <c r="H11" s="133" t="n"/>
      <c r="I11" s="133" t="n"/>
    </row>
    <row r="12">
      <c r="A12" s="140" t="inlineStr">
        <is>
          <t>Selling General &amp; Admin Exp.</t>
        </is>
      </c>
      <c r="B12" s="141" t="n">
        <v>35.688</v>
      </c>
      <c r="C12" s="141" t="n">
        <v>35.324</v>
      </c>
      <c r="D12" s="141" t="n">
        <v>38.846</v>
      </c>
      <c r="E12" s="141" t="n">
        <v>45.347</v>
      </c>
      <c r="F12" s="141" t="n">
        <v>49.111</v>
      </c>
      <c r="G12" s="141" t="n">
        <v>51.252</v>
      </c>
      <c r="H12" s="133" t="n"/>
      <c r="I12" s="133" t="n"/>
    </row>
    <row r="13">
      <c r="A13" s="140" t="inlineStr">
        <is>
          <t>R &amp; D Exp.</t>
        </is>
      </c>
      <c r="B13" s="141" t="n">
        <v>21.346</v>
      </c>
      <c r="C13" s="141" t="n">
        <v>22.737</v>
      </c>
      <c r="D13" s="141" t="n">
        <v>23.131</v>
      </c>
      <c r="E13" s="141" t="n">
        <v>25.089</v>
      </c>
      <c r="F13" s="141" t="n">
        <v>24.528</v>
      </c>
      <c r="G13" s="141" t="n">
        <v>26.108</v>
      </c>
      <c r="H13" s="133" t="n"/>
      <c r="I13" s="133" t="n"/>
    </row>
    <row r="14" ht="12" customHeight="1" s="240">
      <c r="A14" s="140" t="inlineStr">
        <is>
          <t>Depreciation &amp; Amort.</t>
        </is>
      </c>
      <c r="B14" s="141" t="inlineStr">
        <is>
          <t>-</t>
        </is>
      </c>
      <c r="C14" s="141" t="inlineStr">
        <is>
          <t>-</t>
        </is>
      </c>
      <c r="D14" s="141" t="inlineStr">
        <is>
          <t>-</t>
        </is>
      </c>
      <c r="E14" s="141" t="inlineStr">
        <is>
          <t>-</t>
        </is>
      </c>
      <c r="F14" s="141" t="inlineStr">
        <is>
          <t>-</t>
        </is>
      </c>
      <c r="G14" s="141" t="inlineStr">
        <is>
          <t>-</t>
        </is>
      </c>
      <c r="H14" s="133" t="n"/>
      <c r="I14" s="134" t="n"/>
      <c r="J14" s="110" t="n"/>
      <c r="K14" s="110" t="n"/>
      <c r="L14" s="110" t="n"/>
      <c r="M14" s="110" t="n"/>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c r="BY14" s="110" t="n"/>
      <c r="BZ14" s="110" t="n"/>
      <c r="CA14" s="110" t="n"/>
      <c r="CB14" s="110" t="n"/>
      <c r="CC14" s="110" t="n"/>
      <c r="CD14" s="110" t="n"/>
      <c r="CE14" s="110" t="n"/>
      <c r="CF14" s="110" t="n"/>
      <c r="CG14" s="110" t="n"/>
      <c r="CH14" s="110" t="n"/>
      <c r="CI14" s="110" t="n"/>
      <c r="CJ14" s="110" t="n"/>
      <c r="CK14" s="110" t="n"/>
      <c r="CL14" s="110" t="n"/>
      <c r="CM14" s="110" t="n"/>
      <c r="CN14" s="110" t="n"/>
      <c r="CO14" s="110" t="n"/>
      <c r="CP14" s="110" t="n"/>
      <c r="CQ14" s="110" t="n"/>
      <c r="CR14" s="110" t="n"/>
      <c r="CS14" s="110" t="n"/>
      <c r="CT14" s="110" t="n"/>
      <c r="CU14" s="110" t="n"/>
      <c r="CV14" s="110" t="n"/>
      <c r="CW14" s="110" t="n"/>
      <c r="CX14" s="110" t="n"/>
      <c r="CY14" s="110" t="n"/>
      <c r="CZ14" s="110" t="n"/>
      <c r="DA14" s="110" t="n"/>
      <c r="DB14" s="110" t="n"/>
      <c r="DC14" s="110" t="n"/>
      <c r="DD14" s="110" t="n"/>
      <c r="DE14" s="110" t="n"/>
      <c r="DF14" s="110" t="n"/>
      <c r="DG14" s="110" t="n"/>
      <c r="DH14" s="110" t="n"/>
      <c r="DI14" s="110" t="n"/>
      <c r="DJ14" s="110" t="n"/>
      <c r="DK14" s="110" t="n"/>
      <c r="DL14" s="110" t="n"/>
      <c r="DM14" s="110" t="n"/>
      <c r="DN14" s="110" t="n"/>
      <c r="DO14" s="110" t="n"/>
      <c r="DP14" s="110" t="n"/>
      <c r="DQ14" s="110" t="n"/>
      <c r="DR14" s="110" t="n"/>
      <c r="DS14" s="110" t="n"/>
      <c r="DT14" s="110" t="n"/>
      <c r="DU14" s="110" t="n"/>
      <c r="DV14" s="110" t="n"/>
      <c r="DW14" s="110" t="n"/>
      <c r="DX14" s="110" t="n"/>
      <c r="DY14" s="110" t="n"/>
      <c r="DZ14" s="110" t="n"/>
      <c r="EA14" s="110" t="n"/>
      <c r="EB14" s="110" t="n"/>
      <c r="EC14" s="110" t="n"/>
      <c r="ED14" s="110" t="n"/>
      <c r="EE14" s="110" t="n"/>
      <c r="EF14" s="110" t="n"/>
      <c r="EG14" s="110" t="n"/>
      <c r="EH14" s="110" t="n"/>
      <c r="EI14" s="110" t="n"/>
      <c r="EJ14" s="110" t="n"/>
      <c r="EK14" s="110" t="n"/>
      <c r="EL14" s="110" t="n"/>
      <c r="EM14" s="110" t="n"/>
      <c r="EN14" s="110" t="n"/>
      <c r="EO14" s="110" t="n"/>
      <c r="EP14" s="110" t="n"/>
      <c r="EQ14" s="110" t="n"/>
      <c r="ER14" s="110" t="n"/>
      <c r="ES14" s="110" t="n"/>
      <c r="ET14" s="110" t="n"/>
      <c r="EU14" s="110" t="n"/>
      <c r="EV14" s="110" t="n"/>
      <c r="EW14" s="110" t="n"/>
      <c r="EX14" s="110" t="n"/>
      <c r="EY14" s="110" t="n"/>
      <c r="EZ14" s="110" t="n"/>
      <c r="FA14" s="110" t="n"/>
      <c r="FB14" s="110" t="n"/>
      <c r="FC14" s="110" t="n"/>
      <c r="FD14" s="110" t="n"/>
      <c r="FE14" s="110" t="n"/>
      <c r="FF14" s="110" t="n"/>
      <c r="FG14" s="110" t="n"/>
      <c r="FH14" s="110" t="n"/>
      <c r="FI14" s="110" t="n"/>
      <c r="FJ14" s="110" t="n"/>
      <c r="FK14" s="110" t="n"/>
      <c r="FL14" s="110" t="n"/>
      <c r="FM14" s="110" t="n"/>
      <c r="FN14" s="110" t="n"/>
      <c r="FO14" s="110" t="n"/>
      <c r="FP14" s="110" t="n"/>
      <c r="FQ14" s="110" t="n"/>
      <c r="FR14" s="110" t="n"/>
      <c r="FS14" s="110" t="n"/>
      <c r="FT14" s="110" t="n"/>
      <c r="FU14" s="110" t="n"/>
      <c r="FV14" s="110" t="n"/>
      <c r="FW14" s="110" t="n"/>
      <c r="FX14" s="110" t="n"/>
      <c r="FY14" s="110" t="n"/>
      <c r="FZ14" s="110" t="n"/>
      <c r="GA14" s="110" t="n"/>
      <c r="GB14" s="110" t="n"/>
      <c r="GC14" s="110" t="n"/>
      <c r="GD14" s="110" t="n"/>
      <c r="GE14" s="110" t="n"/>
      <c r="GF14" s="110" t="n"/>
      <c r="GG14" s="110" t="n"/>
      <c r="GH14" s="110" t="n"/>
      <c r="GI14" s="110" t="n"/>
      <c r="GJ14" s="110" t="n"/>
      <c r="GK14" s="110" t="n"/>
      <c r="GL14" s="110" t="n"/>
      <c r="GM14" s="110" t="n"/>
      <c r="GN14" s="110" t="n"/>
      <c r="GO14" s="110" t="n"/>
      <c r="GP14" s="110" t="n"/>
      <c r="GQ14" s="110" t="n"/>
      <c r="GR14" s="110" t="n"/>
      <c r="GS14" s="110" t="n"/>
      <c r="GT14" s="110" t="n"/>
      <c r="GU14" s="110" t="n"/>
      <c r="GV14" s="110" t="n"/>
      <c r="GW14" s="110" t="n"/>
      <c r="GX14" s="110" t="n"/>
      <c r="GY14" s="110" t="n"/>
      <c r="GZ14" s="110" t="n"/>
      <c r="HA14" s="110" t="n"/>
      <c r="HB14" s="110" t="n"/>
      <c r="HC14" s="110" t="n"/>
      <c r="HD14" s="110" t="n"/>
      <c r="HE14" s="110" t="n"/>
      <c r="HF14" s="110" t="n"/>
      <c r="HG14" s="110" t="n"/>
      <c r="HH14" s="110" t="n"/>
      <c r="HI14" s="110" t="n"/>
      <c r="HJ14" s="110" t="n"/>
      <c r="HK14" s="110" t="n"/>
      <c r="HL14" s="110" t="n"/>
      <c r="HM14" s="110" t="n"/>
      <c r="HN14" s="110" t="n"/>
      <c r="HO14" s="110" t="n"/>
      <c r="HP14" s="110" t="n"/>
      <c r="HQ14" s="110" t="n"/>
      <c r="HR14" s="110" t="n"/>
      <c r="HS14" s="110" t="n"/>
      <c r="HT14" s="110" t="n"/>
      <c r="HU14" s="110" t="n"/>
      <c r="HV14" s="110" t="n"/>
      <c r="HW14" s="110" t="n"/>
      <c r="HX14" s="110" t="n"/>
      <c r="HY14" s="110" t="n"/>
      <c r="HZ14" s="110" t="n"/>
      <c r="IA14" s="110" t="n"/>
      <c r="IB14" s="110" t="n"/>
      <c r="IC14" s="110" t="n"/>
      <c r="ID14" s="110" t="n"/>
      <c r="IE14" s="110" t="n"/>
      <c r="IF14" s="110" t="n"/>
      <c r="IG14" s="110" t="n"/>
      <c r="IH14" s="110" t="n"/>
      <c r="II14" s="110" t="n"/>
      <c r="IJ14" s="110" t="n"/>
      <c r="IK14" s="110" t="n"/>
      <c r="IL14" s="110" t="n"/>
      <c r="IM14" s="110" t="n"/>
      <c r="IN14" s="110" t="n"/>
      <c r="IO14" s="110" t="n"/>
      <c r="IP14" s="110" t="n"/>
      <c r="IQ14" s="110" t="n"/>
      <c r="IR14" s="110" t="n"/>
      <c r="IS14" s="110" t="n"/>
      <c r="IT14" s="110" t="n"/>
      <c r="IU14" s="110" t="n"/>
    </row>
    <row r="15" ht="12" customHeight="1" s="240">
      <c r="A15" s="140" t="inlineStr">
        <is>
          <t>Other Operating Expense/(Income)</t>
        </is>
      </c>
      <c r="B15" s="141" t="inlineStr">
        <is>
          <t>-</t>
        </is>
      </c>
      <c r="C15" s="141" t="inlineStr">
        <is>
          <t>-</t>
        </is>
      </c>
      <c r="D15" s="141" t="inlineStr">
        <is>
          <t>-</t>
        </is>
      </c>
      <c r="E15" s="141" t="n">
        <v>0.911</v>
      </c>
      <c r="F15" s="141" t="inlineStr">
        <is>
          <t>-</t>
        </is>
      </c>
      <c r="G15" s="141" t="inlineStr">
        <is>
          <t>-</t>
        </is>
      </c>
      <c r="H15" s="133" t="n"/>
      <c r="I15" s="133" t="n"/>
    </row>
    <row r="16">
      <c r="A16" s="140" t="n"/>
      <c r="B16" s="140" t="n"/>
      <c r="C16" s="140" t="n"/>
      <c r="D16" s="140" t="n"/>
      <c r="E16" s="140" t="n"/>
      <c r="F16" s="140" t="n"/>
      <c r="G16" s="140" t="n"/>
      <c r="H16" s="133" t="n"/>
      <c r="I16" s="133" t="n"/>
    </row>
    <row r="17">
      <c r="A17" s="139" t="inlineStr">
        <is>
          <t xml:space="preserve">  Other Operating Exp., Total</t>
        </is>
      </c>
      <c r="B17" s="142" t="n">
        <v>57.034</v>
      </c>
      <c r="C17" s="142" t="n">
        <v>58.061</v>
      </c>
      <c r="D17" s="142" t="n">
        <v>61.977</v>
      </c>
      <c r="E17" s="142" t="n">
        <v>71.34699999999999</v>
      </c>
      <c r="F17" s="142" t="n">
        <v>73.639</v>
      </c>
      <c r="G17" s="142" t="n">
        <v>77.36</v>
      </c>
      <c r="H17" s="133" t="n"/>
      <c r="I17" s="133" t="n"/>
    </row>
    <row r="18">
      <c r="A18" s="140" t="n"/>
      <c r="B18" s="140" t="n"/>
      <c r="C18" s="140" t="n"/>
      <c r="D18" s="140" t="n"/>
      <c r="E18" s="140" t="n"/>
      <c r="F18" s="140" t="n"/>
      <c r="G18" s="140" t="n"/>
      <c r="H18" s="133" t="n"/>
      <c r="I18" s="133" t="n"/>
    </row>
    <row r="19">
      <c r="A19" s="139" t="inlineStr">
        <is>
          <t xml:space="preserve">  Operating Income</t>
        </is>
      </c>
      <c r="B19" s="143" t="n">
        <v>-17.2</v>
      </c>
      <c r="C19" s="143" t="n">
        <v>-16.1</v>
      </c>
      <c r="D19" s="143" t="n">
        <v>-18.9</v>
      </c>
      <c r="E19" s="143" t="n">
        <v>-24.4</v>
      </c>
      <c r="F19" s="143" t="n">
        <v>-23.6</v>
      </c>
      <c r="G19" s="143" t="n">
        <v>-21.8</v>
      </c>
      <c r="H19" s="133" t="n"/>
      <c r="I19" s="133" t="n"/>
    </row>
    <row r="20">
      <c r="A20" s="140" t="n"/>
      <c r="B20" s="140" t="n"/>
      <c r="C20" s="140" t="n"/>
      <c r="D20" s="140" t="n"/>
      <c r="E20" s="140" t="n"/>
      <c r="F20" s="140" t="n"/>
      <c r="G20" s="140" t="n"/>
      <c r="H20" s="133" t="n"/>
      <c r="I20" s="133" t="n"/>
    </row>
    <row r="21">
      <c r="A21" s="140" t="inlineStr">
        <is>
          <t>Interest Expense</t>
        </is>
      </c>
      <c r="B21" s="141" t="n">
        <v>-2.4</v>
      </c>
      <c r="C21" s="141" t="n">
        <v>-2.4</v>
      </c>
      <c r="D21" s="141" t="n">
        <v>-2.1</v>
      </c>
      <c r="E21" s="141" t="n">
        <v>-0.4</v>
      </c>
      <c r="F21" s="141" t="n">
        <v>-0.2</v>
      </c>
      <c r="G21" s="141" t="n">
        <v>-0.3</v>
      </c>
      <c r="H21" s="133" t="n"/>
      <c r="I21" s="133" t="n"/>
    </row>
    <row r="22">
      <c r="A22" s="140" t="inlineStr">
        <is>
          <t>Interest and Invest. Income</t>
        </is>
      </c>
      <c r="B22" s="141" t="n">
        <v>0.5669999999999999</v>
      </c>
      <c r="C22" s="141" t="n">
        <v>0.487</v>
      </c>
      <c r="D22" s="141" t="n">
        <v>0.883</v>
      </c>
      <c r="E22" s="141" t="n">
        <v>3.335</v>
      </c>
      <c r="F22" s="141" t="n">
        <v>2.779</v>
      </c>
      <c r="G22" s="141" t="n">
        <v>2.799</v>
      </c>
      <c r="H22" s="133" t="n"/>
      <c r="I22" s="133" t="n"/>
    </row>
    <row r="23">
      <c r="A23" s="139" t="inlineStr">
        <is>
          <t xml:space="preserve">  Net Interest Exp.</t>
        </is>
      </c>
      <c r="B23" s="142" t="n">
        <v>-1.8</v>
      </c>
      <c r="C23" s="142" t="n">
        <v>-1.9</v>
      </c>
      <c r="D23" s="142" t="n">
        <v>-1.3</v>
      </c>
      <c r="E23" s="142" t="n">
        <v>2.964</v>
      </c>
      <c r="F23" s="142" t="n">
        <v>2.55</v>
      </c>
      <c r="G23" s="142" t="n">
        <v>2.517</v>
      </c>
      <c r="H23" s="133" t="n"/>
      <c r="I23" s="133" t="n"/>
    </row>
    <row r="24">
      <c r="A24" s="140" t="n"/>
      <c r="B24" s="140" t="n"/>
      <c r="C24" s="140" t="n"/>
      <c r="D24" s="140" t="n"/>
      <c r="E24" s="140" t="n"/>
      <c r="F24" s="140" t="n"/>
      <c r="G24" s="140" t="n"/>
      <c r="H24" s="133" t="n"/>
      <c r="I24" s="133" t="n"/>
    </row>
    <row r="25">
      <c r="A25" s="140" t="inlineStr">
        <is>
          <t>Currency Exchange Gains (Loss)</t>
        </is>
      </c>
      <c r="B25" s="141" t="n">
        <v>0.408</v>
      </c>
      <c r="C25" s="141" t="n">
        <v>0.661</v>
      </c>
      <c r="D25" s="141" t="n">
        <v>-0.3</v>
      </c>
      <c r="E25" s="141" t="n">
        <v>-0.3</v>
      </c>
      <c r="F25" s="141" t="n">
        <v>-0.5</v>
      </c>
      <c r="G25" s="141" t="n">
        <v>-0.3</v>
      </c>
      <c r="H25" s="133" t="n"/>
      <c r="I25" s="133" t="n"/>
    </row>
    <row r="26">
      <c r="A26" s="140" t="inlineStr">
        <is>
          <t>Other Non-Operating Inc. (Exp.)</t>
        </is>
      </c>
      <c r="B26" s="141" t="n">
        <v>1.299</v>
      </c>
      <c r="C26" s="141" t="n">
        <v>-3</v>
      </c>
      <c r="D26" s="141" t="n">
        <v>-5.4</v>
      </c>
      <c r="E26" s="141" t="n">
        <v>-0.1</v>
      </c>
      <c r="F26" s="141" t="n">
        <v>0.135</v>
      </c>
      <c r="G26" s="141" t="n">
        <v>0.124</v>
      </c>
      <c r="H26" s="133" t="n"/>
      <c r="I26" s="133" t="n"/>
    </row>
    <row r="27">
      <c r="A27" s="139" t="inlineStr">
        <is>
          <t xml:space="preserve">  EBT Excl. Unusual Items</t>
        </is>
      </c>
      <c r="B27" s="142" t="n">
        <v>-17.4</v>
      </c>
      <c r="C27" s="142" t="n">
        <v>-20.3</v>
      </c>
      <c r="D27" s="142" t="n">
        <v>-25.9</v>
      </c>
      <c r="E27" s="142" t="n">
        <v>-21.8</v>
      </c>
      <c r="F27" s="142" t="n">
        <v>-21.4</v>
      </c>
      <c r="G27" s="142" t="n">
        <v>-19.4</v>
      </c>
      <c r="H27" s="133" t="n"/>
      <c r="I27" s="133" t="n"/>
    </row>
    <row r="28">
      <c r="A28" s="140" t="n"/>
      <c r="B28" s="140" t="n"/>
      <c r="C28" s="140" t="n"/>
      <c r="D28" s="140" t="n"/>
      <c r="E28" s="140" t="n"/>
      <c r="F28" s="140" t="n"/>
      <c r="G28" s="140" t="n"/>
      <c r="H28" s="133" t="n"/>
      <c r="I28" s="133" t="n"/>
    </row>
    <row r="29" ht="12" customHeight="1" s="240">
      <c r="A29" s="140" t="inlineStr">
        <is>
          <t>Impairment of Goodwill</t>
        </is>
      </c>
      <c r="B29" s="141" t="inlineStr">
        <is>
          <t>-</t>
        </is>
      </c>
      <c r="C29" s="141" t="inlineStr">
        <is>
          <t>-</t>
        </is>
      </c>
      <c r="D29" s="141" t="inlineStr">
        <is>
          <t>-</t>
        </is>
      </c>
      <c r="E29" s="141" t="inlineStr">
        <is>
          <t>-</t>
        </is>
      </c>
      <c r="F29" s="141" t="inlineStr">
        <is>
          <t>-</t>
        </is>
      </c>
      <c r="G29" s="141" t="inlineStr">
        <is>
          <t>-</t>
        </is>
      </c>
      <c r="H29" s="133" t="n"/>
      <c r="I29" s="133" t="n"/>
    </row>
    <row r="30" ht="12" customHeight="1" s="240">
      <c r="A30" s="140" t="inlineStr">
        <is>
          <t>Other Unusual Items</t>
        </is>
      </c>
      <c r="B30" s="141" t="n">
        <v>1.811</v>
      </c>
      <c r="C30" s="141" t="inlineStr">
        <is>
          <t>-</t>
        </is>
      </c>
      <c r="D30" s="141" t="n">
        <v>-10.5</v>
      </c>
      <c r="E30" s="141" t="n">
        <v>0.231</v>
      </c>
      <c r="F30" s="141" t="n">
        <v>1.758</v>
      </c>
      <c r="G30" s="141" t="inlineStr">
        <is>
          <t>-</t>
        </is>
      </c>
      <c r="H30" s="133" t="n"/>
      <c r="I30" s="133" t="n"/>
    </row>
    <row r="31">
      <c r="A31" s="139" t="inlineStr">
        <is>
          <t xml:space="preserve">  EBT Incl. Unusual Items</t>
        </is>
      </c>
      <c r="B31" s="142" t="n">
        <v>-15.5</v>
      </c>
      <c r="C31" s="142" t="n">
        <v>-20.3</v>
      </c>
      <c r="D31" s="142" t="n">
        <v>-36.4</v>
      </c>
      <c r="E31" s="142" t="n">
        <v>-21.5</v>
      </c>
      <c r="F31" s="142" t="n">
        <v>-19.6</v>
      </c>
      <c r="G31" s="142" t="n">
        <v>-19.4</v>
      </c>
      <c r="H31" s="133" t="n"/>
      <c r="I31" s="133" t="n"/>
    </row>
    <row r="32">
      <c r="A32" s="140" t="n"/>
      <c r="B32" s="140" t="n"/>
      <c r="C32" s="140" t="n"/>
      <c r="D32" s="140" t="n"/>
      <c r="E32" s="140" t="n"/>
      <c r="F32" s="140" t="n"/>
      <c r="G32" s="140" t="n"/>
      <c r="H32" s="133" t="n"/>
      <c r="I32" s="133" t="n"/>
    </row>
    <row r="33">
      <c r="A33" s="140" t="inlineStr">
        <is>
          <t>Income Tax Expense</t>
        </is>
      </c>
      <c r="B33" s="141" t="n">
        <v>0.772</v>
      </c>
      <c r="C33" s="141" t="n">
        <v>0.872</v>
      </c>
      <c r="D33" s="141" t="n">
        <v>0.49</v>
      </c>
      <c r="E33" s="141" t="n">
        <v>0.387</v>
      </c>
      <c r="F33" s="141" t="n">
        <v>0.5570000000000001</v>
      </c>
      <c r="G33" s="141" t="n">
        <v>0.165</v>
      </c>
      <c r="H33" s="133" t="n"/>
      <c r="I33" s="133" t="n"/>
    </row>
    <row r="34">
      <c r="A34" s="139" t="inlineStr">
        <is>
          <t xml:space="preserve">  Earnings from Cont. Ops.</t>
        </is>
      </c>
      <c r="B34" s="142" t="n">
        <v>-16.3</v>
      </c>
      <c r="C34" s="142" t="n">
        <v>-21.2</v>
      </c>
      <c r="D34" s="142" t="n">
        <v>-36.9</v>
      </c>
      <c r="E34" s="142" t="n">
        <v>-21.9</v>
      </c>
      <c r="F34" s="142" t="n">
        <v>-20.1</v>
      </c>
      <c r="G34" s="142" t="n">
        <v>-19.6</v>
      </c>
      <c r="H34" s="133" t="n"/>
      <c r="I34" s="133" t="n"/>
    </row>
    <row r="35">
      <c r="A35" s="140" t="n"/>
      <c r="B35" s="140" t="n"/>
      <c r="C35" s="140" t="n"/>
      <c r="D35" s="140" t="n"/>
      <c r="E35" s="140" t="n"/>
      <c r="F35" s="140" t="n"/>
      <c r="G35" s="140" t="n"/>
      <c r="H35" s="133" t="n"/>
      <c r="I35" s="133" t="n"/>
    </row>
    <row r="36" ht="12" customHeight="1" s="240">
      <c r="A36" s="140" t="inlineStr">
        <is>
          <t>Earnings of Discontinued Ops.</t>
        </is>
      </c>
      <c r="B36" s="141" t="inlineStr">
        <is>
          <t>-</t>
        </is>
      </c>
      <c r="C36" s="141" t="inlineStr">
        <is>
          <t>-</t>
        </is>
      </c>
      <c r="D36" s="141" t="inlineStr">
        <is>
          <t>-</t>
        </is>
      </c>
      <c r="E36" s="141" t="inlineStr">
        <is>
          <t>-</t>
        </is>
      </c>
      <c r="F36" s="141" t="inlineStr">
        <is>
          <t>-</t>
        </is>
      </c>
      <c r="G36" s="141" t="inlineStr">
        <is>
          <t>-</t>
        </is>
      </c>
      <c r="H36" s="133" t="n"/>
      <c r="I36" s="133" t="n"/>
    </row>
    <row r="37" ht="12" customHeight="1" s="240">
      <c r="A37" s="140" t="inlineStr">
        <is>
          <t>Extraord. Item &amp; Account. Change</t>
        </is>
      </c>
      <c r="B37" s="141" t="inlineStr">
        <is>
          <t>-</t>
        </is>
      </c>
      <c r="C37" s="141" t="inlineStr">
        <is>
          <t>-</t>
        </is>
      </c>
      <c r="D37" s="141" t="inlineStr">
        <is>
          <t>-</t>
        </is>
      </c>
      <c r="E37" s="141" t="inlineStr">
        <is>
          <t>-</t>
        </is>
      </c>
      <c r="F37" s="141" t="inlineStr">
        <is>
          <t>-</t>
        </is>
      </c>
      <c r="G37" s="141" t="inlineStr">
        <is>
          <t>-</t>
        </is>
      </c>
      <c r="H37" s="133" t="n"/>
      <c r="I37" s="133" t="n"/>
    </row>
    <row r="38">
      <c r="A38" s="139" t="inlineStr">
        <is>
          <t xml:space="preserve">  Net Income to Company</t>
        </is>
      </c>
      <c r="B38" s="142" t="n">
        <v>-16.3</v>
      </c>
      <c r="C38" s="142" t="n">
        <v>-21.2</v>
      </c>
      <c r="D38" s="142" t="n">
        <v>-36.9</v>
      </c>
      <c r="E38" s="142" t="n">
        <v>-21.9</v>
      </c>
      <c r="F38" s="142" t="n">
        <v>-20.1</v>
      </c>
      <c r="G38" s="142" t="n">
        <v>-19.6</v>
      </c>
      <c r="H38" s="133" t="n"/>
      <c r="I38" s="133" t="n"/>
    </row>
    <row r="39">
      <c r="A39" s="140" t="n"/>
      <c r="B39" s="140" t="n"/>
      <c r="C39" s="140" t="n"/>
      <c r="D39" s="140" t="n"/>
      <c r="E39" s="140" t="n"/>
      <c r="F39" s="140" t="n"/>
      <c r="G39" s="140" t="n"/>
      <c r="H39" s="133" t="n"/>
      <c r="I39" s="133" t="n"/>
    </row>
    <row r="40" ht="12" customHeight="1" s="240">
      <c r="A40" s="140" t="inlineStr">
        <is>
          <t>Minority Int. in Earnings</t>
        </is>
      </c>
      <c r="B40" s="141" t="inlineStr">
        <is>
          <t>-</t>
        </is>
      </c>
      <c r="C40" s="141" t="inlineStr">
        <is>
          <t>-</t>
        </is>
      </c>
      <c r="D40" s="141" t="inlineStr">
        <is>
          <t>-</t>
        </is>
      </c>
      <c r="E40" s="141" t="inlineStr">
        <is>
          <t>-</t>
        </is>
      </c>
      <c r="F40" s="141" t="inlineStr">
        <is>
          <t>-</t>
        </is>
      </c>
      <c r="G40" s="141" t="inlineStr">
        <is>
          <t>-</t>
        </is>
      </c>
      <c r="H40" s="133" t="n"/>
      <c r="I40" s="133" t="n"/>
    </row>
    <row r="41">
      <c r="A41" s="139" t="inlineStr">
        <is>
          <t xml:space="preserve">  Net Income</t>
        </is>
      </c>
      <c r="B41" s="144" t="n">
        <v>-16.3</v>
      </c>
      <c r="C41" s="144" t="n">
        <v>-21.2</v>
      </c>
      <c r="D41" s="144" t="n">
        <v>-36.9</v>
      </c>
      <c r="E41" s="144" t="n">
        <v>-21.9</v>
      </c>
      <c r="F41" s="144" t="n">
        <v>-20.1</v>
      </c>
      <c r="G41" s="144" t="n">
        <v>-19.6</v>
      </c>
      <c r="H41" s="133" t="n"/>
      <c r="I41" s="133" t="n"/>
    </row>
    <row r="42">
      <c r="A42" s="140" t="n"/>
      <c r="B42" s="140" t="n"/>
      <c r="C42" s="140" t="n"/>
      <c r="D42" s="140" t="n"/>
      <c r="E42" s="140" t="n"/>
      <c r="F42" s="140" t="n"/>
      <c r="G42" s="140" t="n"/>
      <c r="H42" s="133" t="n"/>
      <c r="I42" s="133" t="n"/>
    </row>
    <row r="43" ht="12" customHeight="1" s="240">
      <c r="A43" s="140" t="inlineStr">
        <is>
          <t>Pref. Dividends and Other Adj.</t>
        </is>
      </c>
      <c r="B43" s="141" t="inlineStr">
        <is>
          <t>-</t>
        </is>
      </c>
      <c r="C43" s="141" t="inlineStr">
        <is>
          <t>-</t>
        </is>
      </c>
      <c r="D43" s="141" t="inlineStr">
        <is>
          <t>-</t>
        </is>
      </c>
      <c r="E43" s="141" t="inlineStr">
        <is>
          <t>-</t>
        </is>
      </c>
      <c r="F43" s="141" t="inlineStr">
        <is>
          <t>-</t>
        </is>
      </c>
      <c r="G43" s="141" t="inlineStr">
        <is>
          <t>-</t>
        </is>
      </c>
      <c r="H43" s="133" t="n"/>
      <c r="I43" s="133" t="n"/>
    </row>
    <row r="44">
      <c r="A44" s="140" t="n"/>
      <c r="B44" s="140" t="n"/>
      <c r="C44" s="140" t="n"/>
      <c r="D44" s="140" t="n"/>
      <c r="E44" s="140" t="n"/>
      <c r="F44" s="140" t="n"/>
      <c r="G44" s="140" t="n"/>
      <c r="H44" s="133" t="n"/>
      <c r="I44" s="133" t="n"/>
    </row>
    <row r="45">
      <c r="A45" s="139" t="inlineStr">
        <is>
          <t xml:space="preserve">  NI to Common Incl Extra Items</t>
        </is>
      </c>
      <c r="B45" s="143" t="n">
        <v>-16.3</v>
      </c>
      <c r="C45" s="143" t="n">
        <v>-21.2</v>
      </c>
      <c r="D45" s="143" t="n">
        <v>-36.9</v>
      </c>
      <c r="E45" s="143" t="n">
        <v>-21.9</v>
      </c>
      <c r="F45" s="143" t="n">
        <v>-20.1</v>
      </c>
      <c r="G45" s="143" t="n">
        <v>-19.6</v>
      </c>
      <c r="H45" s="133" t="n"/>
      <c r="I45" s="133" t="n"/>
    </row>
    <row r="46">
      <c r="A46" s="139" t="inlineStr">
        <is>
          <t xml:space="preserve">  NI to Common Excl. Extra Items</t>
        </is>
      </c>
      <c r="B46" s="143" t="n">
        <v>-16.3</v>
      </c>
      <c r="C46" s="143" t="n">
        <v>-21.2</v>
      </c>
      <c r="D46" s="143" t="n">
        <v>-36.9</v>
      </c>
      <c r="E46" s="143" t="n">
        <v>-21.9</v>
      </c>
      <c r="F46" s="143" t="n">
        <v>-20.1</v>
      </c>
      <c r="G46" s="143" t="n">
        <v>-19.6</v>
      </c>
      <c r="H46" s="133" t="n"/>
      <c r="I46" s="133" t="n"/>
    </row>
    <row r="47">
      <c r="A47" s="140" t="n"/>
      <c r="B47" s="140" t="n"/>
      <c r="C47" s="140" t="n"/>
      <c r="D47" s="140" t="n"/>
      <c r="E47" s="140" t="n"/>
      <c r="F47" s="140" t="n"/>
      <c r="G47" s="140" t="n"/>
      <c r="H47" s="133" t="n"/>
      <c r="I47" s="133" t="n"/>
    </row>
    <row r="48">
      <c r="A48" s="139" t="inlineStr">
        <is>
          <t>Per Share Items</t>
        </is>
      </c>
      <c r="B48" s="140" t="n"/>
      <c r="C48" s="140" t="n"/>
      <c r="D48" s="140" t="n"/>
      <c r="E48" s="140" t="n"/>
      <c r="F48" s="140" t="n"/>
      <c r="G48" s="140" t="n"/>
      <c r="H48" s="133" t="n"/>
      <c r="I48" s="133" t="n"/>
    </row>
    <row r="49">
      <c r="A49" s="140" t="inlineStr">
        <is>
          <t>Basic EPS</t>
        </is>
      </c>
      <c r="B49" s="270" t="n">
        <v>-1.28</v>
      </c>
      <c r="C49" s="270" t="n">
        <v>-1.66</v>
      </c>
      <c r="D49" s="270" t="n">
        <v>-1.49</v>
      </c>
      <c r="E49" s="270" t="n">
        <v>-0.27</v>
      </c>
      <c r="F49" s="270" t="n">
        <v>-0.25</v>
      </c>
      <c r="G49" s="270" t="n">
        <v>-0.24</v>
      </c>
      <c r="H49" s="133" t="n"/>
      <c r="I49" s="133" t="n"/>
    </row>
    <row r="50">
      <c r="A50" s="140" t="inlineStr">
        <is>
          <t>Basic EPS Excl. Extra Items</t>
        </is>
      </c>
      <c r="B50" s="271" t="n">
        <v>-1.28</v>
      </c>
      <c r="C50" s="271" t="n">
        <v>-1.66</v>
      </c>
      <c r="D50" s="271" t="n">
        <v>-1.49</v>
      </c>
      <c r="E50" s="271" t="n">
        <v>-0.27</v>
      </c>
      <c r="F50" s="271" t="n">
        <v>-0.25</v>
      </c>
      <c r="G50" s="271" t="n">
        <v>-0.24</v>
      </c>
      <c r="H50" s="133" t="n"/>
      <c r="I50" s="133" t="n"/>
    </row>
    <row r="51">
      <c r="A51" s="140" t="inlineStr">
        <is>
          <t>Weighted Avg. Basic Shares Out.</t>
        </is>
      </c>
      <c r="B51" s="141" t="n">
        <v>12.753056</v>
      </c>
      <c r="C51" s="141" t="n">
        <v>12.793403</v>
      </c>
      <c r="D51" s="141" t="n">
        <v>24.730353</v>
      </c>
      <c r="E51" s="141" t="n">
        <v>81.349711</v>
      </c>
      <c r="F51" s="141" t="n">
        <v>81.177074</v>
      </c>
      <c r="G51" s="141" t="n">
        <v>81.337205</v>
      </c>
      <c r="H51" s="133" t="n"/>
      <c r="I51" s="133" t="n"/>
    </row>
    <row r="52">
      <c r="A52" s="140" t="n"/>
      <c r="B52" s="140" t="n"/>
      <c r="C52" s="140" t="n"/>
      <c r="D52" s="140" t="n"/>
      <c r="E52" s="140" t="n"/>
      <c r="F52" s="140" t="n"/>
      <c r="G52" s="140" t="n"/>
      <c r="H52" s="133" t="n"/>
      <c r="I52" s="133" t="n"/>
    </row>
    <row r="53">
      <c r="A53" s="140" t="inlineStr">
        <is>
          <t>Diluted EPS</t>
        </is>
      </c>
      <c r="B53" s="270" t="n">
        <v>-1.28</v>
      </c>
      <c r="C53" s="270" t="n">
        <v>-1.66</v>
      </c>
      <c r="D53" s="270" t="n">
        <v>-1.49</v>
      </c>
      <c r="E53" s="270" t="n">
        <v>-0.27</v>
      </c>
      <c r="F53" s="270" t="n">
        <v>-0.25</v>
      </c>
      <c r="G53" s="270" t="n">
        <v>-0.24</v>
      </c>
      <c r="H53" s="133" t="n"/>
      <c r="I53" s="133" t="n"/>
    </row>
    <row r="54">
      <c r="A54" s="140" t="inlineStr">
        <is>
          <t>Diluted EPS Excl. Extra Items</t>
        </is>
      </c>
      <c r="B54" s="271" t="n">
        <v>-1.28</v>
      </c>
      <c r="C54" s="271" t="n">
        <v>-1.66</v>
      </c>
      <c r="D54" s="271" t="n">
        <v>-1.49</v>
      </c>
      <c r="E54" s="271" t="n">
        <v>-0.27</v>
      </c>
      <c r="F54" s="271" t="n">
        <v>-0.25</v>
      </c>
      <c r="G54" s="271" t="n">
        <v>-0.24</v>
      </c>
      <c r="H54" s="133" t="n"/>
      <c r="I54" s="133" t="n"/>
    </row>
    <row r="55">
      <c r="A55" s="140" t="inlineStr">
        <is>
          <t>Weighted Avg. Diluted Shares Out.</t>
        </is>
      </c>
      <c r="B55" s="141" t="n">
        <v>12.753056</v>
      </c>
      <c r="C55" s="141" t="n">
        <v>12.793403</v>
      </c>
      <c r="D55" s="141" t="n">
        <v>24.730353</v>
      </c>
      <c r="E55" s="141" t="n">
        <v>81.349711</v>
      </c>
      <c r="F55" s="141" t="n">
        <v>81.177074</v>
      </c>
      <c r="G55" s="141" t="n">
        <v>81.337205</v>
      </c>
      <c r="H55" s="133" t="n"/>
      <c r="I55" s="133" t="n"/>
    </row>
    <row r="56">
      <c r="A56" s="140" t="n"/>
      <c r="B56" s="140" t="n"/>
      <c r="C56" s="140" t="n"/>
      <c r="D56" s="140" t="n"/>
      <c r="E56" s="140" t="n"/>
      <c r="F56" s="140" t="n"/>
      <c r="G56" s="140" t="n"/>
      <c r="H56" s="133" t="n"/>
      <c r="I56" s="133" t="n"/>
    </row>
    <row r="57">
      <c r="A57" s="140" t="inlineStr">
        <is>
          <t>Normalized Basic EPS</t>
        </is>
      </c>
      <c r="B57" s="270" t="n">
        <v>-0.85</v>
      </c>
      <c r="C57" s="270" t="n">
        <v>-0.99</v>
      </c>
      <c r="D57" s="270" t="n">
        <v>-0.65</v>
      </c>
      <c r="E57" s="270" t="n">
        <v>-0.17</v>
      </c>
      <c r="F57" s="270" t="n">
        <v>-0.16</v>
      </c>
      <c r="G57" s="270" t="n">
        <v>-0.15</v>
      </c>
      <c r="H57" s="133" t="n"/>
      <c r="I57" s="133" t="n"/>
    </row>
    <row r="58">
      <c r="A58" s="140" t="inlineStr">
        <is>
          <t>Normalized Diluted EPS</t>
        </is>
      </c>
      <c r="B58" s="271" t="n">
        <v>-0.85</v>
      </c>
      <c r="C58" s="271" t="n">
        <v>-0.99</v>
      </c>
      <c r="D58" s="271" t="n">
        <v>-0.65</v>
      </c>
      <c r="E58" s="271" t="n">
        <v>-0.17</v>
      </c>
      <c r="F58" s="271" t="n">
        <v>-0.16</v>
      </c>
      <c r="G58" s="271" t="n">
        <v>-0.15</v>
      </c>
      <c r="H58" s="133" t="n"/>
      <c r="I58" s="133" t="n"/>
    </row>
    <row r="59">
      <c r="A59" s="140" t="n"/>
      <c r="B59" s="140" t="n"/>
      <c r="C59" s="140" t="n"/>
      <c r="D59" s="140" t="n"/>
      <c r="E59" s="140" t="n"/>
      <c r="F59" s="140" t="n"/>
      <c r="G59" s="140" t="n"/>
      <c r="H59" s="133" t="n"/>
      <c r="I59" s="133" t="n"/>
    </row>
    <row r="60" ht="12" customHeight="1" s="240">
      <c r="A60" s="140" t="inlineStr">
        <is>
          <t>Dividends per Share</t>
        </is>
      </c>
      <c r="B60" s="271" t="inlineStr">
        <is>
          <t>NA</t>
        </is>
      </c>
      <c r="C60" s="271" t="inlineStr">
        <is>
          <t>NA</t>
        </is>
      </c>
      <c r="D60" s="271" t="inlineStr">
        <is>
          <t>NA</t>
        </is>
      </c>
      <c r="E60" s="271" t="inlineStr">
        <is>
          <t>NA</t>
        </is>
      </c>
      <c r="F60" s="271" t="inlineStr">
        <is>
          <t>NA</t>
        </is>
      </c>
      <c r="G60" s="271" t="inlineStr">
        <is>
          <t>NA</t>
        </is>
      </c>
      <c r="H60" s="133" t="n"/>
      <c r="I60" s="133" t="n"/>
    </row>
    <row r="61">
      <c r="A61" s="140" t="n"/>
      <c r="B61" s="140" t="n"/>
      <c r="C61" s="140" t="n"/>
      <c r="D61" s="140" t="n"/>
      <c r="E61" s="140" t="n"/>
      <c r="F61" s="140" t="n"/>
      <c r="G61" s="140" t="n"/>
      <c r="H61" s="133" t="n"/>
      <c r="I61" s="133" t="n"/>
    </row>
    <row r="62">
      <c r="A62" s="139" t="inlineStr">
        <is>
          <t>Supplemental Items</t>
        </is>
      </c>
      <c r="B62" s="140" t="n"/>
      <c r="C62" s="140" t="n"/>
      <c r="D62" s="140" t="n"/>
      <c r="E62" s="140" t="n"/>
      <c r="F62" s="140" t="n"/>
      <c r="G62" s="140" t="n"/>
      <c r="H62" s="133" t="n"/>
      <c r="I62" s="133" t="n"/>
    </row>
    <row r="63">
      <c r="A63" s="140" t="inlineStr">
        <is>
          <t>EBITDA</t>
        </is>
      </c>
      <c r="B63" s="141" t="n">
        <v>-14.9</v>
      </c>
      <c r="C63" s="141" t="n">
        <v>-14</v>
      </c>
      <c r="D63" s="141" t="n">
        <v>-16.8</v>
      </c>
      <c r="E63" s="141" t="n">
        <v>-22.3</v>
      </c>
      <c r="F63" s="141" t="n">
        <v>-21.2</v>
      </c>
      <c r="G63" s="141" t="n">
        <v>-19.4</v>
      </c>
      <c r="H63" s="133" t="n"/>
      <c r="I63" s="133" t="n"/>
    </row>
    <row r="64">
      <c r="A64" s="140" t="inlineStr">
        <is>
          <t>EBITA</t>
        </is>
      </c>
      <c r="B64" s="141" t="n">
        <v>-15.9</v>
      </c>
      <c r="C64" s="141" t="n">
        <v>-15</v>
      </c>
      <c r="D64" s="141" t="n">
        <v>-17.8</v>
      </c>
      <c r="E64" s="141" t="n">
        <v>-23.3</v>
      </c>
      <c r="F64" s="141" t="n">
        <v>-22.2</v>
      </c>
      <c r="G64" s="141" t="n">
        <v>-20.4</v>
      </c>
      <c r="H64" s="133" t="n"/>
      <c r="I64" s="133" t="n"/>
    </row>
    <row r="65">
      <c r="A65" s="140" t="inlineStr">
        <is>
          <t>EBIT</t>
        </is>
      </c>
      <c r="B65" s="141" t="n">
        <v>-17.2</v>
      </c>
      <c r="C65" s="141" t="n">
        <v>-16.1</v>
      </c>
      <c r="D65" s="141" t="n">
        <v>-18.9</v>
      </c>
      <c r="E65" s="141" t="n">
        <v>-24.4</v>
      </c>
      <c r="F65" s="141" t="n">
        <v>-23.6</v>
      </c>
      <c r="G65" s="141" t="n">
        <v>-21.8</v>
      </c>
      <c r="H65" s="133" t="n"/>
      <c r="I65" s="133" t="n"/>
    </row>
    <row r="66" ht="12" customHeight="1" s="240">
      <c r="A66" s="140" t="inlineStr">
        <is>
          <t>Effective Tax Rate %</t>
        </is>
      </c>
      <c r="B66" s="147" t="inlineStr">
        <is>
          <t>NM</t>
        </is>
      </c>
      <c r="C66" s="147" t="inlineStr">
        <is>
          <t>NM</t>
        </is>
      </c>
      <c r="D66" s="147" t="inlineStr">
        <is>
          <t>NM</t>
        </is>
      </c>
      <c r="E66" s="147" t="inlineStr">
        <is>
          <t>NM</t>
        </is>
      </c>
      <c r="F66" s="147" t="inlineStr">
        <is>
          <t>NM</t>
        </is>
      </c>
      <c r="G66" s="147" t="inlineStr">
        <is>
          <t>NM</t>
        </is>
      </c>
      <c r="H66" s="133" t="n"/>
      <c r="I66" s="133" t="n"/>
    </row>
    <row r="67" ht="12" customHeight="1" s="240">
      <c r="A67" s="140" t="inlineStr">
        <is>
          <t>Current Domestic Taxes</t>
        </is>
      </c>
      <c r="B67" s="141" t="inlineStr">
        <is>
          <t>NA</t>
        </is>
      </c>
      <c r="C67" s="141" t="inlineStr">
        <is>
          <t>NA</t>
        </is>
      </c>
      <c r="D67" s="141" t="inlineStr">
        <is>
          <t>NA</t>
        </is>
      </c>
      <c r="E67" s="141" t="n">
        <v>0.243</v>
      </c>
      <c r="F67" s="141" t="inlineStr">
        <is>
          <t>NA</t>
        </is>
      </c>
      <c r="G67" s="141" t="inlineStr">
        <is>
          <t>NA</t>
        </is>
      </c>
      <c r="H67" s="133" t="n"/>
      <c r="I67" s="133" t="n"/>
    </row>
    <row r="68" ht="12" customHeight="1" s="240">
      <c r="A68" s="140" t="inlineStr">
        <is>
          <t>Current Foreign Taxes</t>
        </is>
      </c>
      <c r="B68" s="141" t="inlineStr">
        <is>
          <t>NA</t>
        </is>
      </c>
      <c r="C68" s="141" t="inlineStr">
        <is>
          <t>NA</t>
        </is>
      </c>
      <c r="D68" s="141" t="inlineStr">
        <is>
          <t>NA</t>
        </is>
      </c>
      <c r="E68" s="141" t="n">
        <v>1.685</v>
      </c>
      <c r="F68" s="141" t="inlineStr">
        <is>
          <t>NA</t>
        </is>
      </c>
      <c r="G68" s="141" t="inlineStr">
        <is>
          <t>NA</t>
        </is>
      </c>
      <c r="H68" s="133" t="n"/>
      <c r="I68" s="133" t="n"/>
    </row>
    <row r="69" ht="12" customHeight="1" s="240">
      <c r="A69" s="140" t="inlineStr">
        <is>
          <t>Total Current Taxes</t>
        </is>
      </c>
      <c r="B69" s="141" t="inlineStr">
        <is>
          <t>-</t>
        </is>
      </c>
      <c r="C69" s="141" t="inlineStr">
        <is>
          <t>-</t>
        </is>
      </c>
      <c r="D69" s="141" t="inlineStr">
        <is>
          <t>-</t>
        </is>
      </c>
      <c r="E69" s="141" t="n">
        <v>1.928</v>
      </c>
      <c r="F69" s="141" t="inlineStr">
        <is>
          <t>-</t>
        </is>
      </c>
      <c r="G69" s="141" t="inlineStr">
        <is>
          <t>-</t>
        </is>
      </c>
      <c r="H69" s="133" t="n"/>
      <c r="I69" s="133" t="n"/>
    </row>
    <row r="70" ht="12" customHeight="1" s="240">
      <c r="A70" s="140" t="inlineStr">
        <is>
          <t>Deferred Foreign Taxes</t>
        </is>
      </c>
      <c r="B70" s="141" t="inlineStr">
        <is>
          <t>NA</t>
        </is>
      </c>
      <c r="C70" s="141" t="inlineStr">
        <is>
          <t>NA</t>
        </is>
      </c>
      <c r="D70" s="141" t="inlineStr">
        <is>
          <t>NA</t>
        </is>
      </c>
      <c r="E70" s="141" t="n">
        <v>0.593</v>
      </c>
      <c r="F70" s="141" t="inlineStr">
        <is>
          <t>NA</t>
        </is>
      </c>
      <c r="G70" s="141" t="inlineStr">
        <is>
          <t>NA</t>
        </is>
      </c>
      <c r="H70" s="133" t="n"/>
      <c r="I70" s="133" t="n"/>
    </row>
    <row r="71" ht="12" customHeight="1" s="240">
      <c r="A71" s="140" t="inlineStr">
        <is>
          <t>Total Deferred Taxes</t>
        </is>
      </c>
      <c r="B71" s="141" t="inlineStr">
        <is>
          <t>-</t>
        </is>
      </c>
      <c r="C71" s="141" t="inlineStr">
        <is>
          <t>-</t>
        </is>
      </c>
      <c r="D71" s="141" t="inlineStr">
        <is>
          <t>-</t>
        </is>
      </c>
      <c r="E71" s="141" t="n">
        <v>0.593</v>
      </c>
      <c r="F71" s="141" t="inlineStr">
        <is>
          <t>-</t>
        </is>
      </c>
      <c r="G71" s="141" t="inlineStr">
        <is>
          <t>-</t>
        </is>
      </c>
      <c r="H71" s="133" t="n"/>
      <c r="I71" s="133" t="n"/>
    </row>
    <row r="72">
      <c r="A72" s="140" t="n"/>
      <c r="B72" s="140" t="n"/>
      <c r="C72" s="140" t="n"/>
      <c r="D72" s="140" t="n"/>
      <c r="E72" s="140" t="n"/>
      <c r="F72" s="140" t="n"/>
      <c r="G72" s="140" t="n"/>
      <c r="H72" s="133" t="n"/>
      <c r="I72" s="133" t="n"/>
    </row>
    <row r="73">
      <c r="A73" s="140" t="inlineStr">
        <is>
          <t>Normalized Net Income</t>
        </is>
      </c>
      <c r="B73" s="141" t="n">
        <v>-10.8</v>
      </c>
      <c r="C73" s="141" t="n">
        <v>-12.7</v>
      </c>
      <c r="D73" s="141" t="n">
        <v>-16.2</v>
      </c>
      <c r="E73" s="141" t="n">
        <v>-13.6</v>
      </c>
      <c r="F73" s="141" t="n">
        <v>-13.3</v>
      </c>
      <c r="G73" s="141" t="n">
        <v>-12.1</v>
      </c>
      <c r="H73" s="133" t="n"/>
      <c r="I73" s="133" t="n"/>
    </row>
    <row r="74" ht="12" customHeight="1" s="240">
      <c r="A74" s="140" t="inlineStr">
        <is>
          <t>Interest on Long Term Debt</t>
        </is>
      </c>
      <c r="B74" s="141" t="n">
        <v>2.406</v>
      </c>
      <c r="C74" s="141" t="n">
        <v>2.419</v>
      </c>
      <c r="D74" s="141" t="n">
        <v>2.147</v>
      </c>
      <c r="E74" s="141" t="inlineStr">
        <is>
          <t>NA</t>
        </is>
      </c>
      <c r="F74" s="141" t="n">
        <v>0.229</v>
      </c>
      <c r="G74" s="141" t="n">
        <v>0.282</v>
      </c>
      <c r="H74" s="133" t="n"/>
      <c r="I74" s="133" t="n"/>
    </row>
    <row r="75">
      <c r="A75" s="140" t="inlineStr">
        <is>
          <t>Filing Date</t>
        </is>
      </c>
      <c r="B75" s="272" t="n">
        <v>46154</v>
      </c>
      <c r="C75" s="272" t="n">
        <v>46240</v>
      </c>
      <c r="D75" s="272" t="n">
        <v>45975</v>
      </c>
      <c r="E75" s="272" t="n">
        <v>46087</v>
      </c>
      <c r="F75" s="272" t="n">
        <v>46154</v>
      </c>
      <c r="G75" s="272" t="n">
        <v>46240</v>
      </c>
      <c r="H75" s="133" t="n"/>
      <c r="I75" s="133" t="n"/>
    </row>
    <row r="76" ht="12" customHeight="1" s="240">
      <c r="A76" s="140" t="inlineStr">
        <is>
          <t>Restatement Type</t>
        </is>
      </c>
      <c r="B76" s="149" t="inlineStr">
        <is>
          <t>O</t>
        </is>
      </c>
      <c r="C76" s="149" t="inlineStr">
        <is>
          <t>NC</t>
        </is>
      </c>
      <c r="D76" s="149" t="inlineStr">
        <is>
          <t>O</t>
        </is>
      </c>
      <c r="E76" s="149" t="inlineStr">
        <is>
          <t>O</t>
        </is>
      </c>
      <c r="F76" s="149" t="inlineStr">
        <is>
          <t>O</t>
        </is>
      </c>
      <c r="G76" s="149" t="inlineStr">
        <is>
          <t>O</t>
        </is>
      </c>
      <c r="H76" s="133" t="n"/>
      <c r="I76" s="133" t="n"/>
    </row>
    <row r="77" ht="12" customHeight="1" s="240">
      <c r="A77" s="140" t="inlineStr">
        <is>
          <t>Calculation Type</t>
        </is>
      </c>
      <c r="B77" s="149" t="inlineStr">
        <is>
          <t>REP</t>
        </is>
      </c>
      <c r="C77" s="149" t="inlineStr">
        <is>
          <t>REP</t>
        </is>
      </c>
      <c r="D77" s="149" t="inlineStr">
        <is>
          <t>REP</t>
        </is>
      </c>
      <c r="E77" s="149" t="inlineStr">
        <is>
          <t>Q4</t>
        </is>
      </c>
      <c r="F77" s="149" t="inlineStr">
        <is>
          <t>REP</t>
        </is>
      </c>
      <c r="G77" s="149" t="inlineStr">
        <is>
          <t>REP</t>
        </is>
      </c>
      <c r="H77" s="133" t="n"/>
      <c r="I77" s="133" t="n"/>
    </row>
    <row r="78">
      <c r="A78" s="140" t="n"/>
      <c r="B78" s="140" t="n"/>
      <c r="C78" s="140" t="n"/>
      <c r="D78" s="140" t="n"/>
      <c r="E78" s="140" t="n"/>
      <c r="F78" s="140" t="n"/>
      <c r="G78" s="140" t="n"/>
      <c r="H78" s="133" t="n"/>
      <c r="I78" s="133" t="n"/>
    </row>
    <row r="79">
      <c r="A79" s="139" t="inlineStr">
        <is>
          <t>Supplemental Operating Expense Items</t>
        </is>
      </c>
      <c r="B79" s="140" t="n"/>
      <c r="C79" s="140" t="n"/>
      <c r="D79" s="140" t="n"/>
      <c r="E79" s="140" t="n"/>
      <c r="F79" s="140" t="n"/>
      <c r="G79" s="140" t="n"/>
      <c r="H79" s="133" t="n"/>
      <c r="I79" s="133" t="n"/>
    </row>
    <row r="80">
      <c r="A80" s="140" t="inlineStr">
        <is>
          <t>Selling and Marketing Exp.</t>
        </is>
      </c>
      <c r="B80" s="141" t="n">
        <v>15.202</v>
      </c>
      <c r="C80" s="141" t="n">
        <v>15.973</v>
      </c>
      <c r="D80" s="141" t="n">
        <v>17.657</v>
      </c>
      <c r="E80" s="141" t="n">
        <v>18.372</v>
      </c>
      <c r="F80" s="141" t="n">
        <v>20.49</v>
      </c>
      <c r="G80" s="141" t="n">
        <v>21.142</v>
      </c>
      <c r="H80" s="133" t="n"/>
      <c r="I80" s="133" t="n"/>
    </row>
    <row r="81">
      <c r="A81" s="140" t="inlineStr">
        <is>
          <t>General and Administrative Exp.</t>
        </is>
      </c>
      <c r="B81" s="141" t="n">
        <v>20.486</v>
      </c>
      <c r="C81" s="141" t="n">
        <v>19.351</v>
      </c>
      <c r="D81" s="141" t="n">
        <v>21.189</v>
      </c>
      <c r="E81" s="141" t="n">
        <v>26.975</v>
      </c>
      <c r="F81" s="141" t="n">
        <v>28.621</v>
      </c>
      <c r="G81" s="141" t="n">
        <v>30.11</v>
      </c>
      <c r="H81" s="133" t="n"/>
      <c r="I81" s="133" t="n"/>
    </row>
    <row r="82">
      <c r="A82" s="140" t="inlineStr">
        <is>
          <t>R&amp;D Exp.</t>
        </is>
      </c>
      <c r="B82" s="141" t="n">
        <v>21.346</v>
      </c>
      <c r="C82" s="141" t="n">
        <v>22.737</v>
      </c>
      <c r="D82" s="141" t="n">
        <v>23.131</v>
      </c>
      <c r="E82" s="141" t="n">
        <v>25.138</v>
      </c>
      <c r="F82" s="141" t="n">
        <v>24.528</v>
      </c>
      <c r="G82" s="141" t="n">
        <v>26.108</v>
      </c>
      <c r="H82" s="133" t="n"/>
      <c r="I82" s="133" t="n"/>
    </row>
    <row r="83">
      <c r="A83" s="140" t="n"/>
      <c r="B83" s="140" t="n"/>
      <c r="C83" s="140" t="n"/>
      <c r="D83" s="140" t="n"/>
      <c r="E83" s="140" t="n"/>
      <c r="F83" s="140" t="n"/>
      <c r="G83" s="140" t="n"/>
      <c r="H83" s="133" t="n"/>
      <c r="I83" s="133" t="n"/>
    </row>
    <row r="84">
      <c r="A84" s="140" t="inlineStr">
        <is>
          <t>Stock-Based Comp., COGS</t>
        </is>
      </c>
      <c r="B84" s="141" t="n">
        <v>0.06900000000000001</v>
      </c>
      <c r="C84" s="141" t="n">
        <v>0.037</v>
      </c>
      <c r="D84" s="141" t="n">
        <v>0.038</v>
      </c>
      <c r="E84" s="141" t="n">
        <v>0.056</v>
      </c>
      <c r="F84" s="141" t="n">
        <v>0.075</v>
      </c>
      <c r="G84" s="141" t="n">
        <v>0.098</v>
      </c>
      <c r="H84" s="133" t="n"/>
      <c r="I84" s="133" t="n"/>
    </row>
    <row r="85">
      <c r="A85" s="140" t="inlineStr">
        <is>
          <t>Stock-Based Comp., R&amp;D Exp.</t>
        </is>
      </c>
      <c r="B85" s="141" t="n">
        <v>1.614</v>
      </c>
      <c r="C85" s="141" t="n">
        <v>1.549</v>
      </c>
      <c r="D85" s="141" t="n">
        <v>1.874</v>
      </c>
      <c r="E85" s="141" t="n">
        <v>3.54</v>
      </c>
      <c r="F85" s="141" t="n">
        <v>4.03</v>
      </c>
      <c r="G85" s="141" t="n">
        <v>4.302</v>
      </c>
      <c r="H85" s="133" t="n"/>
      <c r="I85" s="133" t="n"/>
    </row>
    <row r="86">
      <c r="A86" s="140" t="inlineStr">
        <is>
          <t>Stock-Based Comp., S&amp;M Exp.</t>
        </is>
      </c>
      <c r="B86" s="141" t="n">
        <v>1.268</v>
      </c>
      <c r="C86" s="141" t="n">
        <v>1.271</v>
      </c>
      <c r="D86" s="141" t="n">
        <v>1.687</v>
      </c>
      <c r="E86" s="141" t="n">
        <v>2.895</v>
      </c>
      <c r="F86" s="141" t="n">
        <v>3.328</v>
      </c>
      <c r="G86" s="141" t="n">
        <v>3.623</v>
      </c>
      <c r="H86" s="133" t="n"/>
      <c r="I86" s="133" t="n"/>
    </row>
    <row r="87">
      <c r="A87" s="140" t="inlineStr">
        <is>
          <t>Stock-Based Comp., G&amp;A Exp.</t>
        </is>
      </c>
      <c r="B87" s="141" t="n">
        <v>1.74</v>
      </c>
      <c r="C87" s="141" t="n">
        <v>1.805</v>
      </c>
      <c r="D87" s="141" t="n">
        <v>2.993</v>
      </c>
      <c r="E87" s="141" t="n">
        <v>7.905</v>
      </c>
      <c r="F87" s="141" t="n">
        <v>8.131</v>
      </c>
      <c r="G87" s="141" t="n">
        <v>7.987</v>
      </c>
      <c r="H87" s="133" t="n"/>
      <c r="I87" s="133" t="n"/>
    </row>
    <row r="88">
      <c r="A88" s="139" t="inlineStr">
        <is>
          <t xml:space="preserve">  Stock-Based Comp., Total</t>
        </is>
      </c>
      <c r="B88" s="143" t="n">
        <v>4.691</v>
      </c>
      <c r="C88" s="143" t="n">
        <v>4.662</v>
      </c>
      <c r="D88" s="143" t="n">
        <v>6.592</v>
      </c>
      <c r="E88" s="143" t="n">
        <v>14.396</v>
      </c>
      <c r="F88" s="143" t="n">
        <v>15.564</v>
      </c>
      <c r="G88" s="143" t="n">
        <v>16.01</v>
      </c>
      <c r="H88" s="133" t="n"/>
      <c r="I88" s="133" t="n"/>
    </row>
    <row r="89">
      <c r="A89" s="140" t="n"/>
      <c r="B89" s="140" t="n"/>
      <c r="C89" s="140" t="n"/>
      <c r="D89" s="140" t="n"/>
      <c r="E89" s="140" t="n"/>
      <c r="F89" s="140" t="n"/>
      <c r="G89" s="140" t="n"/>
      <c r="H89" s="133" t="n"/>
      <c r="I89" s="133" t="n"/>
    </row>
    <row r="90">
      <c r="A90" s="150" t="n"/>
      <c r="B90" s="150" t="n"/>
      <c r="C90" s="150" t="n"/>
      <c r="D90" s="150" t="n"/>
      <c r="E90" s="150" t="n"/>
      <c r="F90" s="150" t="n"/>
      <c r="G90" s="150" t="n"/>
      <c r="H90" s="133" t="n"/>
      <c r="I90" s="133" t="n"/>
    </row>
    <row r="91">
      <c r="A91" s="133" t="inlineStr">
        <is>
          <t>Note: For multiple class companies, per share items are primary class equivalent, and for foreign companies listed as primary ADRs, per share items are ADR-equivalent.</t>
        </is>
      </c>
      <c r="B91" s="133" t="n"/>
      <c r="C91" s="133" t="n"/>
      <c r="D91" s="133" t="n"/>
      <c r="E91" s="133" t="n"/>
      <c r="F91" s="133" t="n"/>
      <c r="G91" s="133" t="n"/>
      <c r="H91" s="133" t="n"/>
      <c r="I91" s="133" t="n"/>
    </row>
    <row r="92">
      <c r="A92" s="151" t="inlineStr"/>
      <c r="B92" s="133" t="n"/>
      <c r="C92" s="133" t="n"/>
      <c r="D92" s="133" t="n"/>
      <c r="E92" s="133" t="n"/>
      <c r="F92" s="133" t="n"/>
      <c r="G92" s="133" t="n"/>
      <c r="H92" s="133" t="n"/>
      <c r="I92" s="133" t="n"/>
    </row>
    <row r="93">
      <c r="A93" s="133" t="n"/>
      <c r="B93" s="133" t="n"/>
      <c r="C93" s="133" t="n"/>
      <c r="D93" s="133" t="n"/>
      <c r="E93" s="133" t="n"/>
      <c r="F93" s="133" t="n"/>
      <c r="G93" s="133" t="n"/>
      <c r="H93" s="133" t="n"/>
      <c r="I93" s="133" t="n"/>
    </row>
    <row r="94">
      <c r="A94" s="133" t="n"/>
      <c r="B94" s="133" t="n"/>
      <c r="C94" s="133" t="n"/>
      <c r="D94" s="133" t="n"/>
      <c r="E94" s="133" t="n"/>
      <c r="F94" s="133" t="n"/>
      <c r="G94" s="133" t="n"/>
      <c r="H94" s="133" t="n"/>
      <c r="I94" s="133" t="n"/>
    </row>
    <row r="95">
      <c r="A95" s="133" t="n"/>
      <c r="B95" s="133" t="n"/>
      <c r="C95" s="133" t="n"/>
      <c r="D95" s="133" t="n"/>
      <c r="E95" s="133" t="n"/>
      <c r="F95" s="133" t="n"/>
      <c r="G95" s="133" t="n"/>
      <c r="H95" s="133" t="n"/>
      <c r="I95" s="133" t="n"/>
    </row>
    <row r="96">
      <c r="A96" s="133" t="n"/>
      <c r="B96" s="133" t="n"/>
      <c r="C96" s="133" t="n"/>
      <c r="D96" s="133" t="n"/>
      <c r="E96" s="133" t="n"/>
      <c r="F96" s="133" t="n"/>
      <c r="G96" s="133" t="n"/>
      <c r="H96" s="133" t="n"/>
      <c r="I96" s="133" t="n"/>
    </row>
    <row r="97">
      <c r="A97" s="133" t="n"/>
      <c r="B97" s="133" t="n"/>
      <c r="C97" s="133" t="n"/>
      <c r="D97" s="133" t="n"/>
      <c r="E97" s="133" t="n"/>
      <c r="F97" s="133" t="n"/>
      <c r="G97" s="133" t="n"/>
      <c r="H97" s="133" t="n"/>
      <c r="I97" s="133" t="n"/>
    </row>
    <row r="98">
      <c r="A98" s="133" t="n"/>
      <c r="B98" s="133" t="n"/>
      <c r="C98" s="133" t="n"/>
      <c r="D98" s="133" t="n"/>
      <c r="E98" s="133" t="n"/>
      <c r="F98" s="133" t="n"/>
      <c r="G98" s="133" t="n"/>
      <c r="H98" s="133" t="n"/>
      <c r="I98" s="133" t="n"/>
    </row>
    <row r="99">
      <c r="A99" s="133" t="n"/>
      <c r="B99" s="133" t="n"/>
      <c r="C99" s="133" t="n"/>
      <c r="D99" s="133" t="n"/>
      <c r="E99" s="133" t="n"/>
      <c r="F99" s="133" t="n"/>
      <c r="G99" s="133" t="n"/>
      <c r="H99" s="133" t="n"/>
      <c r="I99" s="133" t="n"/>
    </row>
    <row r="100">
      <c r="A100" s="133" t="n"/>
      <c r="B100" s="133" t="n"/>
      <c r="C100" s="133" t="n"/>
      <c r="D100" s="133" t="n"/>
      <c r="E100" s="133" t="n"/>
      <c r="F100" s="133" t="n"/>
      <c r="G100" s="133" t="n"/>
      <c r="H100" s="133" t="n"/>
      <c r="I100" s="133" t="n"/>
    </row>
  </sheetData>
  <pageMargins left="0.2" right="0.2" top="0.5" bottom="0.5" header="0.5" footer="0.5"/>
  <pageSetup orientation="landscape" fitToHeight="0" fitToWidth="0" horizontalDpi="0" verticalDpi="0"/>
</worksheet>
</file>

<file path=xl/worksheets/sheet9.xml><?xml version="1.0" encoding="utf-8"?>
<worksheet xmlns="http://schemas.openxmlformats.org/spreadsheetml/2006/main">
  <sheetPr>
    <outlinePr summaryBelow="0" summaryRight="0"/>
    <pageSetUpPr autoPageBreaks="0"/>
  </sheetPr>
  <dimension ref="A1:IU77"/>
  <sheetViews>
    <sheetView workbookViewId="0">
      <selection activeCell="B20" sqref="B20"/>
    </sheetView>
  </sheetViews>
  <sheetFormatPr baseColWidth="10" defaultColWidth="8.83203125" defaultRowHeight="11"/>
  <cols>
    <col width="45.83203125" customWidth="1" style="104" min="1" max="1"/>
    <col width="14.83203125" customWidth="1" style="104" min="2" max="7"/>
    <col width="8.83203125" customWidth="1" style="104" min="8" max="256"/>
    <col width="45.83203125" customWidth="1" style="104" min="257" max="257"/>
    <col width="14.83203125" customWidth="1" style="104" min="258" max="263"/>
    <col width="8.83203125" customWidth="1" style="104" min="264" max="512"/>
    <col width="45.83203125" customWidth="1" style="104" min="513" max="513"/>
    <col width="14.83203125" customWidth="1" style="104" min="514" max="519"/>
    <col width="8.83203125" customWidth="1" style="104" min="520" max="768"/>
    <col width="45.83203125" customWidth="1" style="104" min="769" max="769"/>
    <col width="14.83203125" customWidth="1" style="104" min="770" max="775"/>
    <col width="8.83203125" customWidth="1" style="104" min="776" max="1024"/>
    <col width="45.83203125" customWidth="1" style="104" min="1025" max="1025"/>
    <col width="14.83203125" customWidth="1" style="104" min="1026" max="1031"/>
    <col width="8.83203125" customWidth="1" style="104" min="1032" max="1280"/>
    <col width="45.83203125" customWidth="1" style="104" min="1281" max="1281"/>
    <col width="14.83203125" customWidth="1" style="104" min="1282" max="1287"/>
    <col width="8.83203125" customWidth="1" style="104" min="1288" max="1536"/>
    <col width="45.83203125" customWidth="1" style="104" min="1537" max="1537"/>
    <col width="14.83203125" customWidth="1" style="104" min="1538" max="1543"/>
    <col width="8.83203125" customWidth="1" style="104" min="1544" max="1792"/>
    <col width="45.83203125" customWidth="1" style="104" min="1793" max="1793"/>
    <col width="14.83203125" customWidth="1" style="104" min="1794" max="1799"/>
    <col width="8.83203125" customWidth="1" style="104" min="1800" max="2048"/>
    <col width="45.83203125" customWidth="1" style="104" min="2049" max="2049"/>
    <col width="14.83203125" customWidth="1" style="104" min="2050" max="2055"/>
    <col width="8.83203125" customWidth="1" style="104" min="2056" max="2304"/>
    <col width="45.83203125" customWidth="1" style="104" min="2305" max="2305"/>
    <col width="14.83203125" customWidth="1" style="104" min="2306" max="2311"/>
    <col width="8.83203125" customWidth="1" style="104" min="2312" max="2560"/>
    <col width="45.83203125" customWidth="1" style="104" min="2561" max="2561"/>
    <col width="14.83203125" customWidth="1" style="104" min="2562" max="2567"/>
    <col width="8.83203125" customWidth="1" style="104" min="2568" max="2816"/>
    <col width="45.83203125" customWidth="1" style="104" min="2817" max="2817"/>
    <col width="14.83203125" customWidth="1" style="104" min="2818" max="2823"/>
    <col width="8.83203125" customWidth="1" style="104" min="2824" max="3072"/>
    <col width="45.83203125" customWidth="1" style="104" min="3073" max="3073"/>
    <col width="14.83203125" customWidth="1" style="104" min="3074" max="3079"/>
    <col width="8.83203125" customWidth="1" style="104" min="3080" max="3328"/>
    <col width="45.83203125" customWidth="1" style="104" min="3329" max="3329"/>
    <col width="14.83203125" customWidth="1" style="104" min="3330" max="3335"/>
    <col width="8.83203125" customWidth="1" style="104" min="3336" max="3584"/>
    <col width="45.83203125" customWidth="1" style="104" min="3585" max="3585"/>
    <col width="14.83203125" customWidth="1" style="104" min="3586" max="3591"/>
    <col width="8.83203125" customWidth="1" style="104" min="3592" max="3840"/>
    <col width="45.83203125" customWidth="1" style="104" min="3841" max="3841"/>
    <col width="14.83203125" customWidth="1" style="104" min="3842" max="3847"/>
    <col width="8.83203125" customWidth="1" style="104" min="3848" max="4096"/>
    <col width="45.83203125" customWidth="1" style="104" min="4097" max="4097"/>
    <col width="14.83203125" customWidth="1" style="104" min="4098" max="4103"/>
    <col width="8.83203125" customWidth="1" style="104" min="4104" max="4352"/>
    <col width="45.83203125" customWidth="1" style="104" min="4353" max="4353"/>
    <col width="14.83203125" customWidth="1" style="104" min="4354" max="4359"/>
    <col width="8.83203125" customWidth="1" style="104" min="4360" max="4608"/>
    <col width="45.83203125" customWidth="1" style="104" min="4609" max="4609"/>
    <col width="14.83203125" customWidth="1" style="104" min="4610" max="4615"/>
    <col width="8.83203125" customWidth="1" style="104" min="4616" max="4864"/>
    <col width="45.83203125" customWidth="1" style="104" min="4865" max="4865"/>
    <col width="14.83203125" customWidth="1" style="104" min="4866" max="4871"/>
    <col width="8.83203125" customWidth="1" style="104" min="4872" max="5120"/>
    <col width="45.83203125" customWidth="1" style="104" min="5121" max="5121"/>
    <col width="14.83203125" customWidth="1" style="104" min="5122" max="5127"/>
    <col width="8.83203125" customWidth="1" style="104" min="5128" max="5376"/>
    <col width="45.83203125" customWidth="1" style="104" min="5377" max="5377"/>
    <col width="14.83203125" customWidth="1" style="104" min="5378" max="5383"/>
    <col width="8.83203125" customWidth="1" style="104" min="5384" max="5632"/>
    <col width="45.83203125" customWidth="1" style="104" min="5633" max="5633"/>
    <col width="14.83203125" customWidth="1" style="104" min="5634" max="5639"/>
    <col width="8.83203125" customWidth="1" style="104" min="5640" max="5888"/>
    <col width="45.83203125" customWidth="1" style="104" min="5889" max="5889"/>
    <col width="14.83203125" customWidth="1" style="104" min="5890" max="5895"/>
    <col width="8.83203125" customWidth="1" style="104" min="5896" max="6144"/>
    <col width="45.83203125" customWidth="1" style="104" min="6145" max="6145"/>
    <col width="14.83203125" customWidth="1" style="104" min="6146" max="6151"/>
    <col width="8.83203125" customWidth="1" style="104" min="6152" max="6400"/>
    <col width="45.83203125" customWidth="1" style="104" min="6401" max="6401"/>
    <col width="14.83203125" customWidth="1" style="104" min="6402" max="6407"/>
    <col width="8.83203125" customWidth="1" style="104" min="6408" max="6656"/>
    <col width="45.83203125" customWidth="1" style="104" min="6657" max="6657"/>
    <col width="14.83203125" customWidth="1" style="104" min="6658" max="6663"/>
    <col width="8.83203125" customWidth="1" style="104" min="6664" max="6912"/>
    <col width="45.83203125" customWidth="1" style="104" min="6913" max="6913"/>
    <col width="14.83203125" customWidth="1" style="104" min="6914" max="6919"/>
    <col width="8.83203125" customWidth="1" style="104" min="6920" max="7168"/>
    <col width="45.83203125" customWidth="1" style="104" min="7169" max="7169"/>
    <col width="14.83203125" customWidth="1" style="104" min="7170" max="7175"/>
    <col width="8.83203125" customWidth="1" style="104" min="7176" max="7424"/>
    <col width="45.83203125" customWidth="1" style="104" min="7425" max="7425"/>
    <col width="14.83203125" customWidth="1" style="104" min="7426" max="7431"/>
    <col width="8.83203125" customWidth="1" style="104" min="7432" max="7680"/>
    <col width="45.83203125" customWidth="1" style="104" min="7681" max="7681"/>
    <col width="14.83203125" customWidth="1" style="104" min="7682" max="7687"/>
    <col width="8.83203125" customWidth="1" style="104" min="7688" max="7936"/>
    <col width="45.83203125" customWidth="1" style="104" min="7937" max="7937"/>
    <col width="14.83203125" customWidth="1" style="104" min="7938" max="7943"/>
    <col width="8.83203125" customWidth="1" style="104" min="7944" max="8192"/>
    <col width="45.83203125" customWidth="1" style="104" min="8193" max="8193"/>
    <col width="14.83203125" customWidth="1" style="104" min="8194" max="8199"/>
    <col width="8.83203125" customWidth="1" style="104" min="8200" max="8448"/>
    <col width="45.83203125" customWidth="1" style="104" min="8449" max="8449"/>
    <col width="14.83203125" customWidth="1" style="104" min="8450" max="8455"/>
    <col width="8.83203125" customWidth="1" style="104" min="8456" max="8704"/>
    <col width="45.83203125" customWidth="1" style="104" min="8705" max="8705"/>
    <col width="14.83203125" customWidth="1" style="104" min="8706" max="8711"/>
    <col width="8.83203125" customWidth="1" style="104" min="8712" max="8960"/>
    <col width="45.83203125" customWidth="1" style="104" min="8961" max="8961"/>
    <col width="14.83203125" customWidth="1" style="104" min="8962" max="8967"/>
    <col width="8.83203125" customWidth="1" style="104" min="8968" max="9216"/>
    <col width="45.83203125" customWidth="1" style="104" min="9217" max="9217"/>
    <col width="14.83203125" customWidth="1" style="104" min="9218" max="9223"/>
    <col width="8.83203125" customWidth="1" style="104" min="9224" max="9472"/>
    <col width="45.83203125" customWidth="1" style="104" min="9473" max="9473"/>
    <col width="14.83203125" customWidth="1" style="104" min="9474" max="9479"/>
    <col width="8.83203125" customWidth="1" style="104" min="9480" max="9728"/>
    <col width="45.83203125" customWidth="1" style="104" min="9729" max="9729"/>
    <col width="14.83203125" customWidth="1" style="104" min="9730" max="9735"/>
    <col width="8.83203125" customWidth="1" style="104" min="9736" max="9984"/>
    <col width="45.83203125" customWidth="1" style="104" min="9985" max="9985"/>
    <col width="14.83203125" customWidth="1" style="104" min="9986" max="9991"/>
    <col width="8.83203125" customWidth="1" style="104" min="9992" max="10240"/>
    <col width="45.83203125" customWidth="1" style="104" min="10241" max="10241"/>
    <col width="14.83203125" customWidth="1" style="104" min="10242" max="10247"/>
    <col width="8.83203125" customWidth="1" style="104" min="10248" max="10496"/>
    <col width="45.83203125" customWidth="1" style="104" min="10497" max="10497"/>
    <col width="14.83203125" customWidth="1" style="104" min="10498" max="10503"/>
    <col width="8.83203125" customWidth="1" style="104" min="10504" max="10752"/>
    <col width="45.83203125" customWidth="1" style="104" min="10753" max="10753"/>
    <col width="14.83203125" customWidth="1" style="104" min="10754" max="10759"/>
    <col width="8.83203125" customWidth="1" style="104" min="10760" max="11008"/>
    <col width="45.83203125" customWidth="1" style="104" min="11009" max="11009"/>
    <col width="14.83203125" customWidth="1" style="104" min="11010" max="11015"/>
    <col width="8.83203125" customWidth="1" style="104" min="11016" max="11264"/>
    <col width="45.83203125" customWidth="1" style="104" min="11265" max="11265"/>
    <col width="14.83203125" customWidth="1" style="104" min="11266" max="11271"/>
    <col width="8.83203125" customWidth="1" style="104" min="11272" max="11520"/>
    <col width="45.83203125" customWidth="1" style="104" min="11521" max="11521"/>
    <col width="14.83203125" customWidth="1" style="104" min="11522" max="11527"/>
    <col width="8.83203125" customWidth="1" style="104" min="11528" max="11776"/>
    <col width="45.83203125" customWidth="1" style="104" min="11777" max="11777"/>
    <col width="14.83203125" customWidth="1" style="104" min="11778" max="11783"/>
    <col width="8.83203125" customWidth="1" style="104" min="11784" max="12032"/>
    <col width="45.83203125" customWidth="1" style="104" min="12033" max="12033"/>
    <col width="14.83203125" customWidth="1" style="104" min="12034" max="12039"/>
    <col width="8.83203125" customWidth="1" style="104" min="12040" max="12288"/>
    <col width="45.83203125" customWidth="1" style="104" min="12289" max="12289"/>
    <col width="14.83203125" customWidth="1" style="104" min="12290" max="12295"/>
    <col width="8.83203125" customWidth="1" style="104" min="12296" max="12544"/>
    <col width="45.83203125" customWidth="1" style="104" min="12545" max="12545"/>
    <col width="14.83203125" customWidth="1" style="104" min="12546" max="12551"/>
    <col width="8.83203125" customWidth="1" style="104" min="12552" max="12800"/>
    <col width="45.83203125" customWidth="1" style="104" min="12801" max="12801"/>
    <col width="14.83203125" customWidth="1" style="104" min="12802" max="12807"/>
    <col width="8.83203125" customWidth="1" style="104" min="12808" max="13056"/>
    <col width="45.83203125" customWidth="1" style="104" min="13057" max="13057"/>
    <col width="14.83203125" customWidth="1" style="104" min="13058" max="13063"/>
    <col width="8.83203125" customWidth="1" style="104" min="13064" max="13312"/>
    <col width="45.83203125" customWidth="1" style="104" min="13313" max="13313"/>
    <col width="14.83203125" customWidth="1" style="104" min="13314" max="13319"/>
    <col width="8.83203125" customWidth="1" style="104" min="13320" max="13568"/>
    <col width="45.83203125" customWidth="1" style="104" min="13569" max="13569"/>
    <col width="14.83203125" customWidth="1" style="104" min="13570" max="13575"/>
    <col width="8.83203125" customWidth="1" style="104" min="13576" max="13824"/>
    <col width="45.83203125" customWidth="1" style="104" min="13825" max="13825"/>
    <col width="14.83203125" customWidth="1" style="104" min="13826" max="13831"/>
    <col width="8.83203125" customWidth="1" style="104" min="13832" max="14080"/>
    <col width="45.83203125" customWidth="1" style="104" min="14081" max="14081"/>
    <col width="14.83203125" customWidth="1" style="104" min="14082" max="14087"/>
    <col width="8.83203125" customWidth="1" style="104" min="14088" max="14336"/>
    <col width="45.83203125" customWidth="1" style="104" min="14337" max="14337"/>
    <col width="14.83203125" customWidth="1" style="104" min="14338" max="14343"/>
    <col width="8.83203125" customWidth="1" style="104" min="14344" max="14592"/>
    <col width="45.83203125" customWidth="1" style="104" min="14593" max="14593"/>
    <col width="14.83203125" customWidth="1" style="104" min="14594" max="14599"/>
    <col width="8.83203125" customWidth="1" style="104" min="14600" max="14848"/>
    <col width="45.83203125" customWidth="1" style="104" min="14849" max="14849"/>
    <col width="14.83203125" customWidth="1" style="104" min="14850" max="14855"/>
    <col width="8.83203125" customWidth="1" style="104" min="14856" max="15104"/>
    <col width="45.83203125" customWidth="1" style="104" min="15105" max="15105"/>
    <col width="14.83203125" customWidth="1" style="104" min="15106" max="15111"/>
    <col width="8.83203125" customWidth="1" style="104" min="15112" max="15360"/>
    <col width="45.83203125" customWidth="1" style="104" min="15361" max="15361"/>
    <col width="14.83203125" customWidth="1" style="104" min="15362" max="15367"/>
    <col width="8.83203125" customWidth="1" style="104" min="15368" max="15616"/>
    <col width="45.83203125" customWidth="1" style="104" min="15617" max="15617"/>
    <col width="14.83203125" customWidth="1" style="104" min="15618" max="15623"/>
    <col width="8.83203125" customWidth="1" style="104" min="15624" max="15872"/>
    <col width="45.83203125" customWidth="1" style="104" min="15873" max="15873"/>
    <col width="14.83203125" customWidth="1" style="104" min="15874" max="15879"/>
    <col width="8.83203125" customWidth="1" style="104" min="15880" max="16128"/>
    <col width="45.83203125" customWidth="1" style="104" min="16129" max="16129"/>
    <col width="14.83203125" customWidth="1" style="104" min="16130" max="16135"/>
    <col width="8.83203125" customWidth="1" style="104" min="16136" max="16384"/>
  </cols>
  <sheetData>
    <row r="1">
      <c r="A1" s="132" t="inlineStr">
        <is>
          <t>Balance Sheet</t>
        </is>
      </c>
      <c r="B1" s="132" t="n"/>
      <c r="C1" s="132" t="n"/>
      <c r="D1" s="132" t="n"/>
      <c r="E1" s="132" t="n"/>
      <c r="F1" s="132" t="n"/>
      <c r="G1" s="132" t="n"/>
      <c r="H1" s="133" t="n"/>
    </row>
    <row r="2" ht="24" customHeight="1" s="240">
      <c r="A2" s="135" t="inlineStr">
        <is>
          <t xml:space="preserve">Balance Sheet as of:
</t>
        </is>
      </c>
      <c r="B2" s="136" t="inlineStr">
        <is>
          <t>Q1
Mar-31-2025</t>
        </is>
      </c>
      <c r="C2" s="136" t="inlineStr">
        <is>
          <t>Q2
Jun-30-2025</t>
        </is>
      </c>
      <c r="D2" s="136" t="inlineStr">
        <is>
          <t>Q3
Sep-30-2025</t>
        </is>
      </c>
      <c r="E2" s="136" t="inlineStr">
        <is>
          <t>Q4
Dec-31-2025</t>
        </is>
      </c>
      <c r="F2" s="136" t="inlineStr">
        <is>
          <t>Q1
Mar-31-2026</t>
        </is>
      </c>
      <c r="G2" s="136" t="inlineStr">
        <is>
          <t>Q2
Jun-30-2026</t>
        </is>
      </c>
      <c r="H2" s="133" t="n"/>
    </row>
    <row r="3" ht="12" customHeight="1" s="240">
      <c r="A3" s="137" t="inlineStr">
        <is>
          <t>Currency</t>
        </is>
      </c>
      <c r="B3" s="138" t="inlineStr">
        <is>
          <t>USD</t>
        </is>
      </c>
      <c r="C3" s="138" t="inlineStr">
        <is>
          <t>USD</t>
        </is>
      </c>
      <c r="D3" s="138" t="inlineStr">
        <is>
          <t>USD</t>
        </is>
      </c>
      <c r="E3" s="138" t="inlineStr">
        <is>
          <t>USD</t>
        </is>
      </c>
      <c r="F3" s="138" t="inlineStr">
        <is>
          <t>USD</t>
        </is>
      </c>
      <c r="G3" s="138" t="inlineStr">
        <is>
          <t>USD</t>
        </is>
      </c>
      <c r="H3" s="133" t="n"/>
    </row>
    <row r="4">
      <c r="A4" s="139" t="inlineStr">
        <is>
          <t>ASSETS</t>
        </is>
      </c>
      <c r="B4" s="140" t="n"/>
      <c r="C4" s="140" t="n"/>
      <c r="D4" s="140" t="n"/>
      <c r="E4" s="140" t="n"/>
      <c r="F4" s="140" t="n"/>
      <c r="G4" s="140" t="n"/>
      <c r="H4" s="133" t="n"/>
    </row>
    <row r="5" ht="12" customHeight="1" s="240">
      <c r="A5" s="140" t="inlineStr">
        <is>
          <t>Cash And Equivalents</t>
        </is>
      </c>
      <c r="B5" s="141" t="inlineStr">
        <is>
          <t>-</t>
        </is>
      </c>
      <c r="C5" s="141" t="n">
        <v>78.212</v>
      </c>
      <c r="D5" s="141" t="n">
        <v>378.158</v>
      </c>
      <c r="E5" s="141" t="n">
        <v>370.914</v>
      </c>
      <c r="F5" s="141" t="n">
        <v>348.158</v>
      </c>
      <c r="G5" s="141" t="n">
        <v>335.915</v>
      </c>
      <c r="H5" s="133" t="n"/>
    </row>
    <row r="6">
      <c r="A6" s="139" t="inlineStr">
        <is>
          <t xml:space="preserve">  Total Cash &amp; ST Investments</t>
        </is>
      </c>
      <c r="B6" s="142" t="n">
        <v>77.905</v>
      </c>
      <c r="C6" s="142" t="n">
        <v>78.212</v>
      </c>
      <c r="D6" s="142" t="n">
        <v>378.158</v>
      </c>
      <c r="E6" s="142" t="n">
        <v>370.914</v>
      </c>
      <c r="F6" s="142" t="n">
        <v>348.158</v>
      </c>
      <c r="G6" s="142" t="n">
        <v>335.915</v>
      </c>
      <c r="H6" s="133" t="n"/>
    </row>
    <row r="7">
      <c r="A7" s="140" t="n"/>
      <c r="B7" s="140" t="n"/>
      <c r="C7" s="140" t="n"/>
      <c r="D7" s="140" t="n"/>
      <c r="E7" s="140" t="n"/>
      <c r="F7" s="140" t="n"/>
      <c r="G7" s="140" t="n"/>
      <c r="H7" s="133" t="n"/>
    </row>
    <row r="8" ht="12" customHeight="1" s="240">
      <c r="A8" s="140" t="inlineStr">
        <is>
          <t>Accounts Receivable</t>
        </is>
      </c>
      <c r="B8" s="141" t="inlineStr">
        <is>
          <t>-</t>
        </is>
      </c>
      <c r="C8" s="141" t="n">
        <v>82.22799999999999</v>
      </c>
      <c r="D8" s="141" t="n">
        <v>84.307</v>
      </c>
      <c r="E8" s="141" t="n">
        <v>81.572</v>
      </c>
      <c r="F8" s="141" t="n">
        <v>94.916</v>
      </c>
      <c r="G8" s="141" t="n">
        <v>104.679</v>
      </c>
      <c r="H8" s="133" t="n"/>
    </row>
    <row r="9" ht="12" customHeight="1" s="240">
      <c r="A9" s="139" t="inlineStr">
        <is>
          <t xml:space="preserve">  Total Receivables</t>
        </is>
      </c>
      <c r="B9" s="142" t="inlineStr">
        <is>
          <t>-</t>
        </is>
      </c>
      <c r="C9" s="142" t="n">
        <v>82.22799999999999</v>
      </c>
      <c r="D9" s="142" t="n">
        <v>84.307</v>
      </c>
      <c r="E9" s="142" t="n">
        <v>81.572</v>
      </c>
      <c r="F9" s="142" t="n">
        <v>94.916</v>
      </c>
      <c r="G9" s="142" t="n">
        <v>104.679</v>
      </c>
      <c r="H9" s="133" t="n"/>
    </row>
    <row r="10">
      <c r="A10" s="140" t="n"/>
      <c r="B10" s="140" t="n"/>
      <c r="C10" s="140" t="n"/>
      <c r="D10" s="140" t="n"/>
      <c r="E10" s="140" t="n"/>
      <c r="F10" s="140" t="n"/>
      <c r="G10" s="140" t="n"/>
      <c r="H10" s="133" t="n"/>
    </row>
    <row r="11" ht="12" customHeight="1" s="240">
      <c r="A11" s="140" t="inlineStr">
        <is>
          <t>Prepaid Exp.</t>
        </is>
      </c>
      <c r="B11" s="141" t="inlineStr">
        <is>
          <t>-</t>
        </is>
      </c>
      <c r="C11" s="141" t="n">
        <v>12.19</v>
      </c>
      <c r="D11" s="141" t="n">
        <v>15.641</v>
      </c>
      <c r="E11" s="141" t="n">
        <v>16.265</v>
      </c>
      <c r="F11" s="141" t="n">
        <v>17.204</v>
      </c>
      <c r="G11" s="141" t="n">
        <v>16.812</v>
      </c>
      <c r="H11" s="133" t="n"/>
    </row>
    <row r="12" ht="12" customHeight="1" s="240">
      <c r="A12" s="140" t="inlineStr">
        <is>
          <t>Other Current Assets</t>
        </is>
      </c>
      <c r="B12" s="141" t="inlineStr">
        <is>
          <t>-</t>
        </is>
      </c>
      <c r="C12" s="141" t="n">
        <v>0.9</v>
      </c>
      <c r="D12" s="141" t="n">
        <v>0.8</v>
      </c>
      <c r="E12" s="141" t="n">
        <v>0.8</v>
      </c>
      <c r="F12" s="141" t="n">
        <v>0.9</v>
      </c>
      <c r="G12" s="141" t="n">
        <v>0.8</v>
      </c>
      <c r="H12" s="133" t="n"/>
    </row>
    <row r="13" ht="12" customHeight="1" s="240">
      <c r="A13" s="139" t="inlineStr">
        <is>
          <t xml:space="preserve">  Total Current Assets</t>
        </is>
      </c>
      <c r="B13" s="142" t="inlineStr">
        <is>
          <t>-</t>
        </is>
      </c>
      <c r="C13" s="142" t="n">
        <v>173.53</v>
      </c>
      <c r="D13" s="142" t="n">
        <v>478.906</v>
      </c>
      <c r="E13" s="142" t="n">
        <v>469.551</v>
      </c>
      <c r="F13" s="142" t="n">
        <v>461.178</v>
      </c>
      <c r="G13" s="142" t="n">
        <v>458.206</v>
      </c>
      <c r="H13" s="133" t="n"/>
    </row>
    <row r="14">
      <c r="A14" s="140" t="n"/>
      <c r="B14" s="140" t="n"/>
      <c r="C14" s="140" t="n"/>
      <c r="D14" s="140" t="n"/>
      <c r="E14" s="140" t="n"/>
      <c r="F14" s="140" t="n"/>
      <c r="G14" s="140" t="n"/>
      <c r="H14" s="134"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c r="BY14" s="110" t="n"/>
      <c r="BZ14" s="110" t="n"/>
      <c r="CA14" s="110" t="n"/>
      <c r="CB14" s="110" t="n"/>
      <c r="CC14" s="110" t="n"/>
      <c r="CD14" s="110" t="n"/>
      <c r="CE14" s="110" t="n"/>
      <c r="CF14" s="110" t="n"/>
      <c r="CG14" s="110" t="n"/>
      <c r="CH14" s="110" t="n"/>
      <c r="CI14" s="110" t="n"/>
      <c r="CJ14" s="110" t="n"/>
      <c r="CK14" s="110" t="n"/>
      <c r="CL14" s="110" t="n"/>
      <c r="CM14" s="110" t="n"/>
      <c r="CN14" s="110" t="n"/>
      <c r="CO14" s="110" t="n"/>
      <c r="CP14" s="110" t="n"/>
      <c r="CQ14" s="110" t="n"/>
      <c r="CR14" s="110" t="n"/>
      <c r="CS14" s="110" t="n"/>
      <c r="CT14" s="110" t="n"/>
      <c r="CU14" s="110" t="n"/>
      <c r="CV14" s="110" t="n"/>
      <c r="CW14" s="110" t="n"/>
      <c r="CX14" s="110" t="n"/>
      <c r="CY14" s="110" t="n"/>
      <c r="CZ14" s="110" t="n"/>
      <c r="DA14" s="110" t="n"/>
      <c r="DB14" s="110" t="n"/>
      <c r="DC14" s="110" t="n"/>
      <c r="DD14" s="110" t="n"/>
      <c r="DE14" s="110" t="n"/>
      <c r="DF14" s="110" t="n"/>
      <c r="DG14" s="110" t="n"/>
      <c r="DH14" s="110" t="n"/>
      <c r="DI14" s="110" t="n"/>
      <c r="DJ14" s="110" t="n"/>
      <c r="DK14" s="110" t="n"/>
      <c r="DL14" s="110" t="n"/>
      <c r="DM14" s="110" t="n"/>
      <c r="DN14" s="110" t="n"/>
      <c r="DO14" s="110" t="n"/>
      <c r="DP14" s="110" t="n"/>
      <c r="DQ14" s="110" t="n"/>
      <c r="DR14" s="110" t="n"/>
      <c r="DS14" s="110" t="n"/>
      <c r="DT14" s="110" t="n"/>
      <c r="DU14" s="110" t="n"/>
      <c r="DV14" s="110" t="n"/>
      <c r="DW14" s="110" t="n"/>
      <c r="DX14" s="110" t="n"/>
      <c r="DY14" s="110" t="n"/>
      <c r="DZ14" s="110" t="n"/>
      <c r="EA14" s="110" t="n"/>
      <c r="EB14" s="110" t="n"/>
      <c r="EC14" s="110" t="n"/>
      <c r="ED14" s="110" t="n"/>
      <c r="EE14" s="110" t="n"/>
      <c r="EF14" s="110" t="n"/>
      <c r="EG14" s="110" t="n"/>
      <c r="EH14" s="110" t="n"/>
      <c r="EI14" s="110" t="n"/>
      <c r="EJ14" s="110" t="n"/>
      <c r="EK14" s="110" t="n"/>
      <c r="EL14" s="110" t="n"/>
      <c r="EM14" s="110" t="n"/>
      <c r="EN14" s="110" t="n"/>
      <c r="EO14" s="110" t="n"/>
      <c r="EP14" s="110" t="n"/>
      <c r="EQ14" s="110" t="n"/>
      <c r="ER14" s="110" t="n"/>
      <c r="ES14" s="110" t="n"/>
      <c r="ET14" s="110" t="n"/>
      <c r="EU14" s="110" t="n"/>
      <c r="EV14" s="110" t="n"/>
      <c r="EW14" s="110" t="n"/>
      <c r="EX14" s="110" t="n"/>
      <c r="EY14" s="110" t="n"/>
      <c r="EZ14" s="110" t="n"/>
      <c r="FA14" s="110" t="n"/>
      <c r="FB14" s="110" t="n"/>
      <c r="FC14" s="110" t="n"/>
      <c r="FD14" s="110" t="n"/>
      <c r="FE14" s="110" t="n"/>
      <c r="FF14" s="110" t="n"/>
      <c r="FG14" s="110" t="n"/>
      <c r="FH14" s="110" t="n"/>
      <c r="FI14" s="110" t="n"/>
      <c r="FJ14" s="110" t="n"/>
      <c r="FK14" s="110" t="n"/>
      <c r="FL14" s="110" t="n"/>
      <c r="FM14" s="110" t="n"/>
      <c r="FN14" s="110" t="n"/>
      <c r="FO14" s="110" t="n"/>
      <c r="FP14" s="110" t="n"/>
      <c r="FQ14" s="110" t="n"/>
      <c r="FR14" s="110" t="n"/>
      <c r="FS14" s="110" t="n"/>
      <c r="FT14" s="110" t="n"/>
      <c r="FU14" s="110" t="n"/>
      <c r="FV14" s="110" t="n"/>
      <c r="FW14" s="110" t="n"/>
      <c r="FX14" s="110" t="n"/>
      <c r="FY14" s="110" t="n"/>
      <c r="FZ14" s="110" t="n"/>
      <c r="GA14" s="110" t="n"/>
      <c r="GB14" s="110" t="n"/>
      <c r="GC14" s="110" t="n"/>
      <c r="GD14" s="110" t="n"/>
      <c r="GE14" s="110" t="n"/>
      <c r="GF14" s="110" t="n"/>
      <c r="GG14" s="110" t="n"/>
      <c r="GH14" s="110" t="n"/>
      <c r="GI14" s="110" t="n"/>
      <c r="GJ14" s="110" t="n"/>
      <c r="GK14" s="110" t="n"/>
      <c r="GL14" s="110" t="n"/>
      <c r="GM14" s="110" t="n"/>
      <c r="GN14" s="110" t="n"/>
      <c r="GO14" s="110" t="n"/>
      <c r="GP14" s="110" t="n"/>
      <c r="GQ14" s="110" t="n"/>
      <c r="GR14" s="110" t="n"/>
      <c r="GS14" s="110" t="n"/>
      <c r="GT14" s="110" t="n"/>
      <c r="GU14" s="110" t="n"/>
      <c r="GV14" s="110" t="n"/>
      <c r="GW14" s="110" t="n"/>
      <c r="GX14" s="110" t="n"/>
      <c r="GY14" s="110" t="n"/>
      <c r="GZ14" s="110" t="n"/>
      <c r="HA14" s="110" t="n"/>
      <c r="HB14" s="110" t="n"/>
      <c r="HC14" s="110" t="n"/>
      <c r="HD14" s="110" t="n"/>
      <c r="HE14" s="110" t="n"/>
      <c r="HF14" s="110" t="n"/>
      <c r="HG14" s="110" t="n"/>
      <c r="HH14" s="110" t="n"/>
      <c r="HI14" s="110" t="n"/>
      <c r="HJ14" s="110" t="n"/>
      <c r="HK14" s="110" t="n"/>
      <c r="HL14" s="110" t="n"/>
      <c r="HM14" s="110" t="n"/>
      <c r="HN14" s="110" t="n"/>
      <c r="HO14" s="110" t="n"/>
      <c r="HP14" s="110" t="n"/>
      <c r="HQ14" s="110" t="n"/>
      <c r="HR14" s="110" t="n"/>
      <c r="HS14" s="110" t="n"/>
      <c r="HT14" s="110" t="n"/>
      <c r="HU14" s="110" t="n"/>
      <c r="HV14" s="110" t="n"/>
      <c r="HW14" s="110" t="n"/>
      <c r="HX14" s="110" t="n"/>
      <c r="HY14" s="110" t="n"/>
      <c r="HZ14" s="110" t="n"/>
      <c r="IA14" s="110" t="n"/>
      <c r="IB14" s="110" t="n"/>
      <c r="IC14" s="110" t="n"/>
      <c r="ID14" s="110" t="n"/>
      <c r="IE14" s="110" t="n"/>
      <c r="IF14" s="110" t="n"/>
      <c r="IG14" s="110" t="n"/>
      <c r="IH14" s="110" t="n"/>
      <c r="II14" s="110" t="n"/>
      <c r="IJ14" s="110" t="n"/>
      <c r="IK14" s="110" t="n"/>
      <c r="IL14" s="110" t="n"/>
      <c r="IM14" s="110" t="n"/>
      <c r="IN14" s="110" t="n"/>
      <c r="IO14" s="110" t="n"/>
      <c r="IP14" s="110" t="n"/>
      <c r="IQ14" s="110" t="n"/>
      <c r="IR14" s="110" t="n"/>
      <c r="IS14" s="110" t="n"/>
      <c r="IT14" s="110" t="n"/>
      <c r="IU14" s="110" t="n"/>
    </row>
    <row r="15" ht="12" customHeight="1" s="240">
      <c r="A15" s="140" t="inlineStr">
        <is>
          <t>Gross Property, Plant &amp; Equipment</t>
        </is>
      </c>
      <c r="B15" s="141" t="inlineStr">
        <is>
          <t>-</t>
        </is>
      </c>
      <c r="C15" s="141" t="n">
        <v>44.389</v>
      </c>
      <c r="D15" s="141" t="n">
        <v>44.638</v>
      </c>
      <c r="E15" s="141" t="n">
        <v>47.997</v>
      </c>
      <c r="F15" s="141" t="n">
        <v>50.603</v>
      </c>
      <c r="G15" s="141" t="n">
        <v>51.203</v>
      </c>
      <c r="H15" s="133" t="n"/>
    </row>
    <row r="16" ht="12" customHeight="1" s="240">
      <c r="A16" s="140" t="inlineStr">
        <is>
          <t>Accumulated Depreciation</t>
        </is>
      </c>
      <c r="B16" s="141" t="inlineStr">
        <is>
          <t>-</t>
        </is>
      </c>
      <c r="C16" s="141" t="n">
        <v>-14.5</v>
      </c>
      <c r="D16" s="141" t="n">
        <v>-15.4</v>
      </c>
      <c r="E16" s="141" t="n">
        <v>-16.3</v>
      </c>
      <c r="F16" s="141" t="n">
        <v>-17.1</v>
      </c>
      <c r="G16" s="141" t="n">
        <v>-18.1</v>
      </c>
      <c r="H16" s="133" t="n"/>
    </row>
    <row r="17" ht="12" customHeight="1" s="240">
      <c r="A17" s="139" t="inlineStr">
        <is>
          <t xml:space="preserve">  Net Property, Plant &amp; Equipment</t>
        </is>
      </c>
      <c r="B17" s="142" t="inlineStr">
        <is>
          <t>-</t>
        </is>
      </c>
      <c r="C17" s="142" t="n">
        <v>29.865</v>
      </c>
      <c r="D17" s="142" t="n">
        <v>29.254</v>
      </c>
      <c r="E17" s="142" t="n">
        <v>31.714</v>
      </c>
      <c r="F17" s="142" t="n">
        <v>33.459</v>
      </c>
      <c r="G17" s="142" t="n">
        <v>33.136</v>
      </c>
      <c r="H17" s="133" t="n"/>
    </row>
    <row r="18">
      <c r="A18" s="140" t="n"/>
      <c r="B18" s="140" t="n"/>
      <c r="C18" s="140" t="n"/>
      <c r="D18" s="140" t="n"/>
      <c r="E18" s="140" t="n"/>
      <c r="F18" s="140" t="n"/>
      <c r="G18" s="140" t="n"/>
      <c r="H18" s="133" t="n"/>
    </row>
    <row r="19" ht="12" customHeight="1" s="240">
      <c r="A19" s="140" t="inlineStr">
        <is>
          <t>Goodwill</t>
        </is>
      </c>
      <c r="B19" s="141" t="inlineStr">
        <is>
          <t>-</t>
        </is>
      </c>
      <c r="C19" s="141" t="n">
        <v>167.011</v>
      </c>
      <c r="D19" s="141" t="n">
        <v>165.962</v>
      </c>
      <c r="E19" s="141" t="n">
        <v>192.305</v>
      </c>
      <c r="F19" s="141" t="n">
        <v>191.005</v>
      </c>
      <c r="G19" s="141" t="n">
        <v>190.72</v>
      </c>
      <c r="H19" s="133" t="n"/>
    </row>
    <row r="20" ht="12" customHeight="1" s="240">
      <c r="A20" s="140" t="inlineStr">
        <is>
          <t>Other Intangibles</t>
        </is>
      </c>
      <c r="B20" s="141" t="inlineStr">
        <is>
          <t>-</t>
        </is>
      </c>
      <c r="C20" s="141" t="n">
        <v>25.521</v>
      </c>
      <c r="D20" s="141" t="n">
        <v>24.127</v>
      </c>
      <c r="E20" s="141" t="n">
        <v>36.025</v>
      </c>
      <c r="F20" s="141" t="n">
        <v>34.336</v>
      </c>
      <c r="G20" s="141" t="n">
        <v>32.971</v>
      </c>
      <c r="H20" s="133" t="n"/>
    </row>
    <row r="21" ht="12" customHeight="1" s="240">
      <c r="A21" s="140" t="inlineStr">
        <is>
          <t>Deferred Tax Assets, LT</t>
        </is>
      </c>
      <c r="B21" s="141" t="inlineStr">
        <is>
          <t>-</t>
        </is>
      </c>
      <c r="C21" s="141" t="n">
        <v>0.361</v>
      </c>
      <c r="D21" s="141" t="n">
        <v>1.183</v>
      </c>
      <c r="E21" s="141" t="n">
        <v>0.529</v>
      </c>
      <c r="F21" s="141" t="n">
        <v>0.437</v>
      </c>
      <c r="G21" s="141" t="n">
        <v>0.401</v>
      </c>
      <c r="H21" s="133" t="n"/>
    </row>
    <row r="22" ht="12" customHeight="1" s="240">
      <c r="A22" s="140" t="inlineStr">
        <is>
          <t>Deferred Charges, LT</t>
        </is>
      </c>
      <c r="B22" s="141" t="inlineStr">
        <is>
          <t>-</t>
        </is>
      </c>
      <c r="C22" s="141" t="n">
        <v>0.8</v>
      </c>
      <c r="D22" s="141" t="n">
        <v>0.8</v>
      </c>
      <c r="E22" s="141" t="n">
        <v>0.7</v>
      </c>
      <c r="F22" s="141" t="n">
        <v>0.6</v>
      </c>
      <c r="G22" s="141" t="n">
        <v>0.6</v>
      </c>
      <c r="H22" s="133" t="n"/>
    </row>
    <row r="23" ht="12" customHeight="1" s="240">
      <c r="A23" s="140" t="inlineStr">
        <is>
          <t>Other Long-Term Assets</t>
        </is>
      </c>
      <c r="B23" s="141" t="inlineStr">
        <is>
          <t>-</t>
        </is>
      </c>
      <c r="C23" s="141" t="n">
        <v>1.782</v>
      </c>
      <c r="D23" s="141" t="n">
        <v>1.826</v>
      </c>
      <c r="E23" s="141" t="n">
        <v>2.271</v>
      </c>
      <c r="F23" s="141" t="n">
        <v>2.305</v>
      </c>
      <c r="G23" s="141" t="n">
        <v>2.315</v>
      </c>
      <c r="H23" s="133" t="n"/>
    </row>
    <row r="24" ht="12" customHeight="1" s="240">
      <c r="A24" s="139" t="inlineStr">
        <is>
          <t>Total Assets</t>
        </is>
      </c>
      <c r="B24" s="144" t="inlineStr">
        <is>
          <t>-</t>
        </is>
      </c>
      <c r="C24" s="144" t="n">
        <v>398.87</v>
      </c>
      <c r="D24" s="144" t="n">
        <v>702.058</v>
      </c>
      <c r="E24" s="144" t="n">
        <v>733.095</v>
      </c>
      <c r="F24" s="144" t="n">
        <v>723.3200000000001</v>
      </c>
      <c r="G24" s="144" t="n">
        <v>718.349</v>
      </c>
      <c r="H24" s="133" t="n"/>
    </row>
    <row r="25">
      <c r="A25" s="140" t="n"/>
      <c r="B25" s="140" t="n"/>
      <c r="C25" s="140" t="n"/>
      <c r="D25" s="140" t="n"/>
      <c r="E25" s="140" t="n"/>
      <c r="F25" s="140" t="n"/>
      <c r="G25" s="140" t="n"/>
      <c r="H25" s="133" t="n"/>
    </row>
    <row r="26">
      <c r="A26" s="139" t="inlineStr">
        <is>
          <t>LIABILITIES</t>
        </is>
      </c>
      <c r="B26" s="140" t="n"/>
      <c r="C26" s="140" t="n"/>
      <c r="D26" s="140" t="n"/>
      <c r="E26" s="140" t="n"/>
      <c r="F26" s="140" t="n"/>
      <c r="G26" s="140" t="n"/>
      <c r="H26" s="133" t="n"/>
    </row>
    <row r="27" ht="12" customHeight="1" s="240">
      <c r="A27" s="140" t="inlineStr">
        <is>
          <t>Accounts Payable</t>
        </is>
      </c>
      <c r="B27" s="141" t="inlineStr">
        <is>
          <t>-</t>
        </is>
      </c>
      <c r="C27" s="141" t="n">
        <v>6.9</v>
      </c>
      <c r="D27" s="141" t="n">
        <v>5.663</v>
      </c>
      <c r="E27" s="141" t="n">
        <v>4.427</v>
      </c>
      <c r="F27" s="141" t="n">
        <v>7.222</v>
      </c>
      <c r="G27" s="141" t="n">
        <v>6.039</v>
      </c>
      <c r="H27" s="133" t="n"/>
    </row>
    <row r="28" ht="12" customHeight="1" s="240">
      <c r="A28" s="140" t="inlineStr">
        <is>
          <t>Accrued Exp.</t>
        </is>
      </c>
      <c r="B28" s="141" t="inlineStr">
        <is>
          <t>-</t>
        </is>
      </c>
      <c r="C28" s="141" t="n">
        <v>44.954</v>
      </c>
      <c r="D28" s="141" t="n">
        <v>50.169</v>
      </c>
      <c r="E28" s="141" t="n">
        <v>51.546</v>
      </c>
      <c r="F28" s="141" t="n">
        <v>47.694</v>
      </c>
      <c r="G28" s="141" t="n">
        <v>50.76</v>
      </c>
      <c r="H28" s="133" t="n"/>
    </row>
    <row r="29" ht="12" customHeight="1" s="240">
      <c r="A29" s="140" t="inlineStr">
        <is>
          <t>Curr. Port. of Leases</t>
        </is>
      </c>
      <c r="B29" s="141" t="inlineStr">
        <is>
          <t>-</t>
        </is>
      </c>
      <c r="C29" s="141" t="n">
        <v>7.954</v>
      </c>
      <c r="D29" s="141" t="n">
        <v>8.106</v>
      </c>
      <c r="E29" s="141" t="n">
        <v>9.749000000000001</v>
      </c>
      <c r="F29" s="141" t="n">
        <v>10.021</v>
      </c>
      <c r="G29" s="141" t="n">
        <v>9.829000000000001</v>
      </c>
      <c r="H29" s="133" t="n"/>
    </row>
    <row r="30" ht="12" customHeight="1" s="240">
      <c r="A30" s="140" t="inlineStr">
        <is>
          <t>Curr. Income Taxes Payable</t>
        </is>
      </c>
      <c r="B30" s="141" t="inlineStr">
        <is>
          <t>-</t>
        </is>
      </c>
      <c r="C30" s="141" t="n">
        <v>1.746</v>
      </c>
      <c r="D30" s="141" t="n">
        <v>1.345</v>
      </c>
      <c r="E30" s="141" t="n">
        <v>1.62</v>
      </c>
      <c r="F30" s="141" t="n">
        <v>1.733</v>
      </c>
      <c r="G30" s="141" t="n">
        <v>1.358</v>
      </c>
      <c r="H30" s="133" t="n"/>
    </row>
    <row r="31" ht="12" customHeight="1" s="240">
      <c r="A31" s="140" t="inlineStr">
        <is>
          <t>Unearned Revenue, Current</t>
        </is>
      </c>
      <c r="B31" s="141" t="inlineStr">
        <is>
          <t>-</t>
        </is>
      </c>
      <c r="C31" s="141" t="n">
        <v>21.26</v>
      </c>
      <c r="D31" s="141" t="n">
        <v>24.103</v>
      </c>
      <c r="E31" s="141" t="n">
        <v>26.893</v>
      </c>
      <c r="F31" s="141" t="n">
        <v>23.954</v>
      </c>
      <c r="G31" s="141" t="n">
        <v>22.81</v>
      </c>
      <c r="H31" s="133" t="n"/>
    </row>
    <row r="32" ht="12" customHeight="1" s="240">
      <c r="A32" s="140" t="inlineStr">
        <is>
          <t>Other Current Liabilities</t>
        </is>
      </c>
      <c r="B32" s="141" t="inlineStr">
        <is>
          <t>-</t>
        </is>
      </c>
      <c r="C32" s="141" t="inlineStr">
        <is>
          <t>-</t>
        </is>
      </c>
      <c r="D32" s="141" t="n">
        <v>3.319</v>
      </c>
      <c r="E32" s="141" t="inlineStr">
        <is>
          <t>-</t>
        </is>
      </c>
      <c r="F32" s="141" t="inlineStr">
        <is>
          <t>-</t>
        </is>
      </c>
      <c r="G32" s="141" t="inlineStr">
        <is>
          <t>-</t>
        </is>
      </c>
      <c r="H32" s="133" t="n"/>
    </row>
    <row r="33" ht="12" customHeight="1" s="240">
      <c r="A33" s="139" t="inlineStr">
        <is>
          <t xml:space="preserve">  Total Current Liabilities</t>
        </is>
      </c>
      <c r="B33" s="142" t="inlineStr">
        <is>
          <t>-</t>
        </is>
      </c>
      <c r="C33" s="142" t="n">
        <v>82.81399999999999</v>
      </c>
      <c r="D33" s="142" t="n">
        <v>92.705</v>
      </c>
      <c r="E33" s="142" t="n">
        <v>94.235</v>
      </c>
      <c r="F33" s="142" t="n">
        <v>90.624</v>
      </c>
      <c r="G33" s="142" t="n">
        <v>90.79600000000001</v>
      </c>
      <c r="H33" s="133" t="n"/>
    </row>
    <row r="34">
      <c r="A34" s="140" t="n"/>
      <c r="B34" s="140" t="n"/>
      <c r="C34" s="140" t="n"/>
      <c r="D34" s="140" t="n"/>
      <c r="E34" s="140" t="n"/>
      <c r="F34" s="140" t="n"/>
      <c r="G34" s="140" t="n"/>
      <c r="H34" s="133" t="n"/>
    </row>
    <row r="35" ht="12" customHeight="1" s="240">
      <c r="A35" s="140" t="inlineStr">
        <is>
          <t>Long-Term Debt</t>
        </is>
      </c>
      <c r="B35" s="141" t="inlineStr">
        <is>
          <t>-</t>
        </is>
      </c>
      <c r="C35" s="141" t="n">
        <v>70.881</v>
      </c>
      <c r="D35" s="141" t="n">
        <v>25</v>
      </c>
      <c r="E35" s="141" t="inlineStr">
        <is>
          <t>-</t>
        </is>
      </c>
      <c r="F35" s="141" t="inlineStr">
        <is>
          <t>-</t>
        </is>
      </c>
      <c r="G35" s="141" t="inlineStr">
        <is>
          <t>-</t>
        </is>
      </c>
      <c r="H35" s="133" t="n"/>
    </row>
    <row r="36" ht="12" customHeight="1" s="240">
      <c r="A36" s="140" t="inlineStr">
        <is>
          <t>Long-Term Leases</t>
        </is>
      </c>
      <c r="B36" s="141" t="inlineStr">
        <is>
          <t>-</t>
        </is>
      </c>
      <c r="C36" s="141" t="n">
        <v>9.602</v>
      </c>
      <c r="D36" s="141" t="n">
        <v>8.409000000000001</v>
      </c>
      <c r="E36" s="141" t="n">
        <v>9.378</v>
      </c>
      <c r="F36" s="141" t="n">
        <v>9.249000000000001</v>
      </c>
      <c r="G36" s="141" t="n">
        <v>8.196</v>
      </c>
      <c r="H36" s="133" t="n"/>
    </row>
    <row r="37" ht="12" customHeight="1" s="240">
      <c r="A37" s="140" t="inlineStr">
        <is>
          <t>Unearned Revenue, Non-Current</t>
        </is>
      </c>
      <c r="B37" s="141" t="inlineStr">
        <is>
          <t>-</t>
        </is>
      </c>
      <c r="C37" s="141" t="n">
        <v>1.499</v>
      </c>
      <c r="D37" s="141" t="n">
        <v>1.354</v>
      </c>
      <c r="E37" s="141" t="n">
        <v>1.746</v>
      </c>
      <c r="F37" s="141" t="n">
        <v>1.321</v>
      </c>
      <c r="G37" s="141" t="n">
        <v>1.048</v>
      </c>
      <c r="H37" s="133" t="n"/>
    </row>
    <row r="38" ht="12" customHeight="1" s="240">
      <c r="A38" s="140" t="inlineStr">
        <is>
          <t>Other Non-Current Liabilities</t>
        </is>
      </c>
      <c r="B38" s="141" t="inlineStr">
        <is>
          <t>-</t>
        </is>
      </c>
      <c r="C38" s="141" t="n">
        <v>17.675</v>
      </c>
      <c r="D38" s="141" t="inlineStr">
        <is>
          <t>-</t>
        </is>
      </c>
      <c r="E38" s="141" t="inlineStr">
        <is>
          <t>-</t>
        </is>
      </c>
      <c r="F38" s="141" t="inlineStr">
        <is>
          <t>-</t>
        </is>
      </c>
      <c r="G38" s="141" t="inlineStr">
        <is>
          <t>-</t>
        </is>
      </c>
      <c r="H38" s="133" t="n"/>
    </row>
    <row r="39" ht="12" customHeight="1" s="240">
      <c r="A39" s="139" t="inlineStr">
        <is>
          <t>Total Liabilities</t>
        </is>
      </c>
      <c r="B39" s="142" t="inlineStr">
        <is>
          <t>-</t>
        </is>
      </c>
      <c r="C39" s="142" t="n">
        <v>182.471</v>
      </c>
      <c r="D39" s="142" t="n">
        <v>127.468</v>
      </c>
      <c r="E39" s="142" t="n">
        <v>105.359</v>
      </c>
      <c r="F39" s="142" t="n">
        <v>101.194</v>
      </c>
      <c r="G39" s="142" t="n">
        <v>100.04</v>
      </c>
      <c r="H39" s="133" t="n"/>
    </row>
    <row r="40">
      <c r="A40" s="140" t="n"/>
      <c r="B40" s="140" t="n"/>
      <c r="C40" s="140" t="n"/>
      <c r="D40" s="140" t="n"/>
      <c r="E40" s="140" t="n"/>
      <c r="F40" s="140" t="n"/>
      <c r="G40" s="140" t="n"/>
      <c r="H40" s="133" t="n"/>
    </row>
    <row r="41" ht="12" customHeight="1" s="240">
      <c r="A41" s="140" t="inlineStr">
        <is>
          <t>Pref. Stock, Convertible</t>
        </is>
      </c>
      <c r="B41" s="141" t="inlineStr">
        <is>
          <t>-</t>
        </is>
      </c>
      <c r="C41" s="141" t="n">
        <v>1220.005</v>
      </c>
      <c r="D41" s="141" t="inlineStr">
        <is>
          <t>-</t>
        </is>
      </c>
      <c r="E41" s="141" t="inlineStr">
        <is>
          <t>-</t>
        </is>
      </c>
      <c r="F41" s="141" t="inlineStr">
        <is>
          <t>-</t>
        </is>
      </c>
      <c r="G41" s="141" t="inlineStr">
        <is>
          <t>-</t>
        </is>
      </c>
      <c r="H41" s="133" t="n"/>
    </row>
    <row r="42" ht="12" customHeight="1" s="240">
      <c r="A42" s="139" t="inlineStr">
        <is>
          <t xml:space="preserve">  Total Pref. Equity</t>
        </is>
      </c>
      <c r="B42" s="142" t="n">
        <v>1195.058</v>
      </c>
      <c r="C42" s="142" t="n">
        <v>1220.005</v>
      </c>
      <c r="D42" s="142" t="inlineStr">
        <is>
          <t>-</t>
        </is>
      </c>
      <c r="E42" s="142" t="inlineStr">
        <is>
          <t>-</t>
        </is>
      </c>
      <c r="F42" s="142" t="inlineStr">
        <is>
          <t>-</t>
        </is>
      </c>
      <c r="G42" s="142" t="inlineStr">
        <is>
          <t>-</t>
        </is>
      </c>
      <c r="H42" s="133" t="n"/>
    </row>
    <row r="43">
      <c r="A43" s="140" t="n"/>
      <c r="B43" s="140" t="n"/>
      <c r="C43" s="140" t="n"/>
      <c r="D43" s="140" t="n"/>
      <c r="E43" s="140" t="n"/>
      <c r="F43" s="140" t="n"/>
      <c r="G43" s="140" t="n"/>
      <c r="H43" s="133" t="n"/>
    </row>
    <row r="44" ht="12" customHeight="1" s="240">
      <c r="A44" s="140" t="inlineStr">
        <is>
          <t>Common Stock</t>
        </is>
      </c>
      <c r="B44" s="141" t="inlineStr">
        <is>
          <t>-</t>
        </is>
      </c>
      <c r="C44" s="141" t="inlineStr">
        <is>
          <t>-</t>
        </is>
      </c>
      <c r="D44" s="141" t="n">
        <v>0.001</v>
      </c>
      <c r="E44" s="141" t="n">
        <v>0.001</v>
      </c>
      <c r="F44" s="141" t="n">
        <v>0.001</v>
      </c>
      <c r="G44" s="141" t="n">
        <v>0.001</v>
      </c>
      <c r="H44" s="133" t="n"/>
    </row>
    <row r="45" ht="12" customHeight="1" s="240">
      <c r="A45" s="140" t="inlineStr">
        <is>
          <t>Additional Paid In Capital</t>
        </is>
      </c>
      <c r="B45" s="141" t="inlineStr">
        <is>
          <t>-</t>
        </is>
      </c>
      <c r="C45" s="141" t="n">
        <v>120.091</v>
      </c>
      <c r="D45" s="141" t="n">
        <v>1736.317</v>
      </c>
      <c r="E45" s="141" t="n">
        <v>1811.349</v>
      </c>
      <c r="F45" s="141" t="n">
        <v>1827.909</v>
      </c>
      <c r="G45" s="141" t="n">
        <v>1844.614</v>
      </c>
      <c r="H45" s="133" t="n"/>
    </row>
    <row r="46" ht="12" customHeight="1" s="240">
      <c r="A46" s="140" t="inlineStr">
        <is>
          <t>Retained Earnings</t>
        </is>
      </c>
      <c r="B46" s="141" t="inlineStr">
        <is>
          <t>-</t>
        </is>
      </c>
      <c r="C46" s="141" t="n">
        <v>-1132.5</v>
      </c>
      <c r="D46" s="141" t="n">
        <v>-1169.4</v>
      </c>
      <c r="E46" s="141" t="n">
        <v>-1191.3</v>
      </c>
      <c r="F46" s="141" t="n">
        <v>-1211.5</v>
      </c>
      <c r="G46" s="141" t="n">
        <v>-1231</v>
      </c>
      <c r="H46" s="133" t="n"/>
    </row>
    <row r="47" ht="12" customHeight="1" s="240">
      <c r="A47" s="140" t="inlineStr">
        <is>
          <t>Treasury Stock</t>
        </is>
      </c>
      <c r="B47" s="141" t="inlineStr">
        <is>
          <t>-</t>
        </is>
      </c>
      <c r="C47" s="141" t="inlineStr">
        <is>
          <t>-</t>
        </is>
      </c>
      <c r="D47" s="141" t="inlineStr">
        <is>
          <t>-</t>
        </is>
      </c>
      <c r="E47" s="141" t="inlineStr">
        <is>
          <t>-</t>
        </is>
      </c>
      <c r="F47" s="141" t="inlineStr">
        <is>
          <t>-</t>
        </is>
      </c>
      <c r="G47" s="141" t="inlineStr">
        <is>
          <t>-</t>
        </is>
      </c>
      <c r="H47" s="133" t="n"/>
    </row>
    <row r="48" ht="12" customHeight="1" s="240">
      <c r="A48" s="140" t="inlineStr">
        <is>
          <t>Comprehensive Inc. and Other</t>
        </is>
      </c>
      <c r="B48" s="141" t="inlineStr">
        <is>
          <t>-</t>
        </is>
      </c>
      <c r="C48" s="141" t="n">
        <v>8.795999999999999</v>
      </c>
      <c r="D48" s="141" t="n">
        <v>7.652</v>
      </c>
      <c r="E48" s="141" t="n">
        <v>7.702</v>
      </c>
      <c r="F48" s="141" t="n">
        <v>5.681</v>
      </c>
      <c r="G48" s="141" t="n">
        <v>4.715</v>
      </c>
      <c r="H48" s="133" t="n"/>
    </row>
    <row r="49">
      <c r="A49" s="139" t="inlineStr">
        <is>
          <t xml:space="preserve">  Total Common Equity</t>
        </is>
      </c>
      <c r="B49" s="142" t="n">
        <v>-987.1</v>
      </c>
      <c r="C49" s="142" t="n">
        <v>-1003.6</v>
      </c>
      <c r="D49" s="142" t="n">
        <v>574.59</v>
      </c>
      <c r="E49" s="142" t="n">
        <v>627.736</v>
      </c>
      <c r="F49" s="142" t="n">
        <v>622.126</v>
      </c>
      <c r="G49" s="142" t="n">
        <v>618.309</v>
      </c>
      <c r="H49" s="133" t="n"/>
    </row>
    <row r="50">
      <c r="A50" s="140" t="n"/>
      <c r="B50" s="140" t="n"/>
      <c r="C50" s="140" t="n"/>
      <c r="D50" s="140" t="n"/>
      <c r="E50" s="140" t="n"/>
      <c r="F50" s="140" t="n"/>
      <c r="G50" s="140" t="n"/>
      <c r="H50" s="133" t="n"/>
    </row>
    <row r="51">
      <c r="A51" s="139" t="inlineStr">
        <is>
          <t>Total Equity</t>
        </is>
      </c>
      <c r="B51" s="152" t="n">
        <v>207.203</v>
      </c>
      <c r="C51" s="152" t="n">
        <v>216.399</v>
      </c>
      <c r="D51" s="152" t="n">
        <v>574.59</v>
      </c>
      <c r="E51" s="152" t="n">
        <v>627.736</v>
      </c>
      <c r="F51" s="152" t="n">
        <v>622.126</v>
      </c>
      <c r="G51" s="152" t="n">
        <v>618.309</v>
      </c>
      <c r="H51" s="133" t="n"/>
    </row>
    <row r="52">
      <c r="A52" s="140" t="n"/>
      <c r="B52" s="140" t="n"/>
      <c r="C52" s="140" t="n"/>
      <c r="D52" s="140" t="n"/>
      <c r="E52" s="140" t="n"/>
      <c r="F52" s="140" t="n"/>
      <c r="G52" s="140" t="n"/>
      <c r="H52" s="133" t="n"/>
    </row>
    <row r="53" ht="12" customHeight="1" s="240">
      <c r="A53" s="139" t="inlineStr">
        <is>
          <t>Total Liabilities And Equity</t>
        </is>
      </c>
      <c r="B53" s="153" t="inlineStr">
        <is>
          <t>-</t>
        </is>
      </c>
      <c r="C53" s="153" t="n">
        <v>398.87</v>
      </c>
      <c r="D53" s="153" t="n">
        <v>702.058</v>
      </c>
      <c r="E53" s="153" t="n">
        <v>733.095</v>
      </c>
      <c r="F53" s="153" t="n">
        <v>723.3200000000001</v>
      </c>
      <c r="G53" s="153" t="n">
        <v>718.349</v>
      </c>
      <c r="H53" s="133" t="n"/>
    </row>
    <row r="54">
      <c r="A54" s="140" t="n"/>
      <c r="B54" s="140" t="n"/>
      <c r="C54" s="140" t="n"/>
      <c r="D54" s="140" t="n"/>
      <c r="E54" s="140" t="n"/>
      <c r="F54" s="140" t="n"/>
      <c r="G54" s="140" t="n"/>
      <c r="H54" s="133" t="n"/>
    </row>
    <row r="55">
      <c r="A55" s="139" t="inlineStr">
        <is>
          <t>Supplemental Items</t>
        </is>
      </c>
      <c r="B55" s="140" t="n"/>
      <c r="C55" s="140" t="n"/>
      <c r="D55" s="140" t="n"/>
      <c r="E55" s="140" t="n"/>
      <c r="F55" s="140" t="n"/>
      <c r="G55" s="140" t="n"/>
      <c r="H55" s="133" t="n"/>
    </row>
    <row r="56">
      <c r="A56" s="140" t="inlineStr">
        <is>
          <t>Total Shares Out. on Filing Date</t>
        </is>
      </c>
      <c r="B56" s="141" t="n">
        <v>12.753056</v>
      </c>
      <c r="C56" s="141" t="n">
        <v>12.935746</v>
      </c>
      <c r="D56" s="141" t="n">
        <v>80.99082</v>
      </c>
      <c r="E56" s="141" t="n">
        <v>81.18881399999999</v>
      </c>
      <c r="F56" s="141" t="n">
        <v>81.29587100000001</v>
      </c>
      <c r="G56" s="141" t="n">
        <v>81.505613</v>
      </c>
      <c r="H56" s="133" t="n"/>
    </row>
    <row r="57">
      <c r="A57" s="140" t="inlineStr">
        <is>
          <t>Total Shares Out. on Balance Sheet Date</t>
        </is>
      </c>
      <c r="B57" s="141" t="n">
        <v>12.753056</v>
      </c>
      <c r="C57" s="141" t="n">
        <v>12.935746</v>
      </c>
      <c r="D57" s="141" t="n">
        <v>79.588847</v>
      </c>
      <c r="E57" s="141" t="n">
        <v>81.12285799999999</v>
      </c>
      <c r="F57" s="141" t="n">
        <v>81.26116500000001</v>
      </c>
      <c r="G57" s="141" t="n">
        <v>81.444356</v>
      </c>
      <c r="H57" s="133" t="n"/>
    </row>
    <row r="58">
      <c r="A58" s="140" t="inlineStr">
        <is>
          <t>Book Value/Share</t>
        </is>
      </c>
      <c r="B58" s="270" t="n">
        <v>-77.65000000000001</v>
      </c>
      <c r="C58" s="270" t="n">
        <v>-77.58</v>
      </c>
      <c r="D58" s="270" t="n">
        <v>7.22</v>
      </c>
      <c r="E58" s="270" t="n">
        <v>7.74</v>
      </c>
      <c r="F58" s="270" t="n">
        <v>7.66</v>
      </c>
      <c r="G58" s="270" t="n">
        <v>7.59</v>
      </c>
      <c r="H58" s="133" t="n"/>
    </row>
    <row r="59">
      <c r="A59" s="140" t="inlineStr">
        <is>
          <t>Tangible Book Value</t>
        </is>
      </c>
      <c r="B59" s="141" t="n">
        <v>-1173.6</v>
      </c>
      <c r="C59" s="141" t="n">
        <v>-1196.1</v>
      </c>
      <c r="D59" s="141" t="n">
        <v>384.501</v>
      </c>
      <c r="E59" s="141" t="n">
        <v>399.406</v>
      </c>
      <c r="F59" s="141" t="n">
        <v>396.785</v>
      </c>
      <c r="G59" s="141" t="n">
        <v>394.618</v>
      </c>
      <c r="H59" s="133" t="n"/>
    </row>
    <row r="60">
      <c r="A60" s="140" t="inlineStr">
        <is>
          <t>Tangible Book Value/Share</t>
        </is>
      </c>
      <c r="B60" s="270" t="n">
        <v>-92.31999999999999</v>
      </c>
      <c r="C60" s="270" t="n">
        <v>-92.47</v>
      </c>
      <c r="D60" s="270" t="n">
        <v>4.83</v>
      </c>
      <c r="E60" s="270" t="n">
        <v>4.92</v>
      </c>
      <c r="F60" s="270" t="n">
        <v>4.88</v>
      </c>
      <c r="G60" s="270" t="n">
        <v>4.85</v>
      </c>
      <c r="H60" s="133" t="n"/>
    </row>
    <row r="61">
      <c r="A61" s="140" t="inlineStr">
        <is>
          <t>Total Debt</t>
        </is>
      </c>
      <c r="B61" s="141" t="n">
        <v>82.60599999999999</v>
      </c>
      <c r="C61" s="141" t="n">
        <v>88.437</v>
      </c>
      <c r="D61" s="141" t="n">
        <v>41.515</v>
      </c>
      <c r="E61" s="141" t="n">
        <v>19.127</v>
      </c>
      <c r="F61" s="141" t="n">
        <v>19.27</v>
      </c>
      <c r="G61" s="141" t="n">
        <v>18.025</v>
      </c>
      <c r="H61" s="133" t="n"/>
    </row>
    <row r="62">
      <c r="A62" s="140" t="inlineStr">
        <is>
          <t>Net Debt</t>
        </is>
      </c>
      <c r="B62" s="141" t="n">
        <v>4.701</v>
      </c>
      <c r="C62" s="141" t="n">
        <v>10.225</v>
      </c>
      <c r="D62" s="141" t="n">
        <v>-336.6</v>
      </c>
      <c r="E62" s="141" t="n">
        <v>-351.8</v>
      </c>
      <c r="F62" s="141" t="n">
        <v>-328.9</v>
      </c>
      <c r="G62" s="141" t="n">
        <v>-317.9</v>
      </c>
      <c r="H62" s="133" t="n"/>
    </row>
    <row r="63" ht="12" customHeight="1" s="240">
      <c r="A63" s="140" t="inlineStr">
        <is>
          <t>Total Minority Interest</t>
        </is>
      </c>
      <c r="B63" s="141" t="n">
        <v>-0.8</v>
      </c>
      <c r="C63" s="141" t="inlineStr">
        <is>
          <t>NA</t>
        </is>
      </c>
      <c r="D63" s="141" t="inlineStr">
        <is>
          <t>NA</t>
        </is>
      </c>
      <c r="E63" s="141" t="inlineStr">
        <is>
          <t>NA</t>
        </is>
      </c>
      <c r="F63" s="141" t="inlineStr">
        <is>
          <t>NA</t>
        </is>
      </c>
      <c r="G63" s="141" t="inlineStr">
        <is>
          <t>NA</t>
        </is>
      </c>
      <c r="H63" s="133" t="n"/>
    </row>
    <row r="64" ht="12" customHeight="1" s="240">
      <c r="A64" s="140" t="inlineStr">
        <is>
          <t>Machinery</t>
        </is>
      </c>
      <c r="B64" s="141" t="inlineStr">
        <is>
          <t>NA</t>
        </is>
      </c>
      <c r="C64" s="141" t="n">
        <v>9.388999999999999</v>
      </c>
      <c r="D64" s="141" t="n">
        <v>9.513</v>
      </c>
      <c r="E64" s="141" t="n">
        <v>9.909000000000001</v>
      </c>
      <c r="F64" s="141" t="n">
        <v>10.062</v>
      </c>
      <c r="G64" s="141" t="n">
        <v>10.355</v>
      </c>
      <c r="H64" s="133" t="n"/>
    </row>
    <row r="65" ht="12" customHeight="1" s="240">
      <c r="A65" s="140" t="inlineStr">
        <is>
          <t>Leasehold Improvements</t>
        </is>
      </c>
      <c r="B65" s="141" t="inlineStr">
        <is>
          <t>-</t>
        </is>
      </c>
      <c r="C65" s="141" t="n">
        <v>1.174</v>
      </c>
      <c r="D65" s="141" t="n">
        <v>1.254</v>
      </c>
      <c r="E65" s="141" t="n">
        <v>1.113</v>
      </c>
      <c r="F65" s="141" t="n">
        <v>1.113</v>
      </c>
      <c r="G65" s="141" t="n">
        <v>1.128</v>
      </c>
      <c r="H65" s="133" t="n"/>
    </row>
    <row r="66" ht="12" customHeight="1" s="240">
      <c r="A66" s="140" t="inlineStr">
        <is>
          <t>Full Time Employees</t>
        </is>
      </c>
      <c r="B66" s="278" t="inlineStr">
        <is>
          <t>NA</t>
        </is>
      </c>
      <c r="C66" s="278" t="n">
        <v>973</v>
      </c>
      <c r="D66" s="278" t="inlineStr">
        <is>
          <t>NA</t>
        </is>
      </c>
      <c r="E66" s="278" t="n">
        <v>1040</v>
      </c>
      <c r="F66" s="278" t="inlineStr">
        <is>
          <t>NA</t>
        </is>
      </c>
      <c r="G66" s="278" t="inlineStr">
        <is>
          <t>NA</t>
        </is>
      </c>
      <c r="H66" s="133" t="n"/>
    </row>
    <row r="67" ht="12" customHeight="1" s="240">
      <c r="A67" s="140" t="inlineStr">
        <is>
          <t>Accum. Allowance for Doubtful Accts</t>
        </is>
      </c>
      <c r="B67" s="141" t="inlineStr">
        <is>
          <t>NA</t>
        </is>
      </c>
      <c r="C67" s="141" t="n">
        <v>0.01</v>
      </c>
      <c r="D67" s="141" t="n">
        <v>0.041</v>
      </c>
      <c r="E67" s="141" t="n">
        <v>0.024</v>
      </c>
      <c r="F67" s="141" t="n">
        <v>0.01</v>
      </c>
      <c r="G67" s="141" t="n">
        <v>0.02</v>
      </c>
      <c r="H67" s="133" t="n"/>
    </row>
    <row r="68" ht="12" customHeight="1" s="240">
      <c r="A68" s="140" t="inlineStr">
        <is>
          <t>Filing Date</t>
        </is>
      </c>
      <c r="B68" s="149" t="inlineStr">
        <is>
          <t>NA</t>
        </is>
      </c>
      <c r="C68" s="272" t="n">
        <v>46240</v>
      </c>
      <c r="D68" s="272" t="n">
        <v>45975</v>
      </c>
      <c r="E68" s="272" t="n">
        <v>46087</v>
      </c>
      <c r="F68" s="272" t="n">
        <v>46154</v>
      </c>
      <c r="G68" s="272" t="n">
        <v>46240</v>
      </c>
      <c r="H68" s="133" t="n"/>
    </row>
    <row r="69" ht="12" customHeight="1" s="240">
      <c r="A69" s="140" t="inlineStr">
        <is>
          <t>Restatement Type</t>
        </is>
      </c>
      <c r="B69" s="149" t="inlineStr">
        <is>
          <t>NV</t>
        </is>
      </c>
      <c r="C69" s="149" t="inlineStr">
        <is>
          <t>NC</t>
        </is>
      </c>
      <c r="D69" s="149" t="inlineStr">
        <is>
          <t>O</t>
        </is>
      </c>
      <c r="E69" s="149" t="inlineStr">
        <is>
          <t>O</t>
        </is>
      </c>
      <c r="F69" s="149" t="inlineStr">
        <is>
          <t>O</t>
        </is>
      </c>
      <c r="G69" s="149" t="inlineStr">
        <is>
          <t>O</t>
        </is>
      </c>
      <c r="H69" s="133" t="n"/>
    </row>
    <row r="70" ht="12" customHeight="1" s="240">
      <c r="A70" s="140" t="inlineStr">
        <is>
          <t>Calculation Type</t>
        </is>
      </c>
      <c r="B70" s="149" t="inlineStr">
        <is>
          <t>FWD</t>
        </is>
      </c>
      <c r="C70" s="149" t="inlineStr">
        <is>
          <t>RUP</t>
        </is>
      </c>
      <c r="D70" s="149" t="inlineStr">
        <is>
          <t>REP</t>
        </is>
      </c>
      <c r="E70" s="149" t="inlineStr">
        <is>
          <t>Q4</t>
        </is>
      </c>
      <c r="F70" s="149" t="inlineStr">
        <is>
          <t>REP</t>
        </is>
      </c>
      <c r="G70" s="149" t="inlineStr">
        <is>
          <t>REP</t>
        </is>
      </c>
      <c r="H70" s="133" t="n"/>
    </row>
    <row r="71">
      <c r="A71" s="140" t="n"/>
      <c r="B71" s="140" t="n"/>
      <c r="C71" s="140" t="n"/>
      <c r="D71" s="140" t="n"/>
      <c r="E71" s="140" t="n"/>
      <c r="F71" s="140" t="n"/>
      <c r="G71" s="140" t="n"/>
      <c r="H71" s="133" t="n"/>
    </row>
    <row r="72">
      <c r="A72" s="150" t="n"/>
      <c r="B72" s="150" t="n"/>
      <c r="C72" s="150" t="n"/>
      <c r="D72" s="150" t="n"/>
      <c r="E72" s="150" t="n"/>
      <c r="F72" s="150" t="n"/>
      <c r="G72" s="150" t="n"/>
      <c r="H72" s="133" t="n"/>
    </row>
    <row r="73">
      <c r="A73" s="133" t="inlineStr">
        <is>
          <t>Note: For multiple class companies, total share counts are primary class equivalent, and for foreign companies listed as primary ADRs, total share counts are ADR-equivalent.</t>
        </is>
      </c>
      <c r="B73" s="133" t="n"/>
      <c r="C73" s="133" t="n"/>
      <c r="D73" s="133" t="n"/>
      <c r="E73" s="133" t="n"/>
      <c r="F73" s="133" t="n"/>
      <c r="G73" s="133" t="n"/>
      <c r="H73" s="133" t="n"/>
    </row>
    <row r="74">
      <c r="A74" s="151" t="inlineStr"/>
      <c r="B74" s="133" t="n"/>
      <c r="C74" s="133" t="n"/>
      <c r="D74" s="133" t="n"/>
      <c r="E74" s="133" t="n"/>
      <c r="F74" s="133" t="n"/>
      <c r="G74" s="133" t="n"/>
      <c r="H74" s="133" t="n"/>
    </row>
    <row r="75">
      <c r="A75" s="133" t="n"/>
      <c r="B75" s="133" t="n"/>
      <c r="C75" s="133" t="n"/>
      <c r="D75" s="133" t="n"/>
      <c r="E75" s="133" t="n"/>
      <c r="F75" s="133" t="n"/>
      <c r="G75" s="133" t="n"/>
      <c r="H75" s="133" t="n"/>
    </row>
    <row r="76">
      <c r="A76" s="133" t="n"/>
      <c r="B76" s="133" t="n"/>
      <c r="C76" s="133" t="n"/>
      <c r="D76" s="133" t="n"/>
      <c r="E76" s="133" t="n"/>
      <c r="F76" s="133" t="n"/>
      <c r="G76" s="133" t="n"/>
      <c r="H76" s="133" t="n"/>
    </row>
    <row r="77">
      <c r="A77" s="133" t="n"/>
      <c r="B77" s="133" t="n"/>
      <c r="C77" s="133" t="n"/>
      <c r="D77" s="133" t="n"/>
      <c r="E77" s="133" t="n"/>
      <c r="F77" s="133" t="n"/>
      <c r="G77" s="133" t="n"/>
      <c r="H77" s="133" t="n"/>
    </row>
  </sheetData>
  <pageMargins left="0.2" right="0.2" top="0.5" bottom="0.5" header="0.5" footer="0.5"/>
  <pageSetup orientation="landscape" fitToHeight="0" fitToWidth="0" horizontalDpi="0" verticalDpi="0"/>
</worksheet>
</file>

<file path=xl/worksheets/sheet10.xml><?xml version="1.0" encoding="utf-8"?>
<worksheet xmlns="http://schemas.openxmlformats.org/spreadsheetml/2006/main">
  <sheetPr>
    <outlinePr summaryBelow="0" summaryRight="0"/>
    <pageSetUpPr autoPageBreaks="0"/>
  </sheetPr>
  <dimension ref="A1:IU62"/>
  <sheetViews>
    <sheetView workbookViewId="0">
      <selection activeCell="B58" sqref="B58"/>
    </sheetView>
  </sheetViews>
  <sheetFormatPr baseColWidth="10" defaultColWidth="8.83203125" defaultRowHeight="11"/>
  <cols>
    <col width="45.83203125" customWidth="1" style="104" min="1" max="1"/>
    <col width="14.83203125" customWidth="1" style="104" min="2" max="7"/>
    <col width="8.83203125" customWidth="1" style="104" min="8" max="256"/>
    <col width="45.83203125" customWidth="1" style="104" min="257" max="257"/>
    <col width="14.83203125" customWidth="1" style="104" min="258" max="263"/>
    <col width="8.83203125" customWidth="1" style="104" min="264" max="512"/>
    <col width="45.83203125" customWidth="1" style="104" min="513" max="513"/>
    <col width="14.83203125" customWidth="1" style="104" min="514" max="519"/>
    <col width="8.83203125" customWidth="1" style="104" min="520" max="768"/>
    <col width="45.83203125" customWidth="1" style="104" min="769" max="769"/>
    <col width="14.83203125" customWidth="1" style="104" min="770" max="775"/>
    <col width="8.83203125" customWidth="1" style="104" min="776" max="1024"/>
    <col width="45.83203125" customWidth="1" style="104" min="1025" max="1025"/>
    <col width="14.83203125" customWidth="1" style="104" min="1026" max="1031"/>
    <col width="8.83203125" customWidth="1" style="104" min="1032" max="1280"/>
    <col width="45.83203125" customWidth="1" style="104" min="1281" max="1281"/>
    <col width="14.83203125" customWidth="1" style="104" min="1282" max="1287"/>
    <col width="8.83203125" customWidth="1" style="104" min="1288" max="1536"/>
    <col width="45.83203125" customWidth="1" style="104" min="1537" max="1537"/>
    <col width="14.83203125" customWidth="1" style="104" min="1538" max="1543"/>
    <col width="8.83203125" customWidth="1" style="104" min="1544" max="1792"/>
    <col width="45.83203125" customWidth="1" style="104" min="1793" max="1793"/>
    <col width="14.83203125" customWidth="1" style="104" min="1794" max="1799"/>
    <col width="8.83203125" customWidth="1" style="104" min="1800" max="2048"/>
    <col width="45.83203125" customWidth="1" style="104" min="2049" max="2049"/>
    <col width="14.83203125" customWidth="1" style="104" min="2050" max="2055"/>
    <col width="8.83203125" customWidth="1" style="104" min="2056" max="2304"/>
    <col width="45.83203125" customWidth="1" style="104" min="2305" max="2305"/>
    <col width="14.83203125" customWidth="1" style="104" min="2306" max="2311"/>
    <col width="8.83203125" customWidth="1" style="104" min="2312" max="2560"/>
    <col width="45.83203125" customWidth="1" style="104" min="2561" max="2561"/>
    <col width="14.83203125" customWidth="1" style="104" min="2562" max="2567"/>
    <col width="8.83203125" customWidth="1" style="104" min="2568" max="2816"/>
    <col width="45.83203125" customWidth="1" style="104" min="2817" max="2817"/>
    <col width="14.83203125" customWidth="1" style="104" min="2818" max="2823"/>
    <col width="8.83203125" customWidth="1" style="104" min="2824" max="3072"/>
    <col width="45.83203125" customWidth="1" style="104" min="3073" max="3073"/>
    <col width="14.83203125" customWidth="1" style="104" min="3074" max="3079"/>
    <col width="8.83203125" customWidth="1" style="104" min="3080" max="3328"/>
    <col width="45.83203125" customWidth="1" style="104" min="3329" max="3329"/>
    <col width="14.83203125" customWidth="1" style="104" min="3330" max="3335"/>
    <col width="8.83203125" customWidth="1" style="104" min="3336" max="3584"/>
    <col width="45.83203125" customWidth="1" style="104" min="3585" max="3585"/>
    <col width="14.83203125" customWidth="1" style="104" min="3586" max="3591"/>
    <col width="8.83203125" customWidth="1" style="104" min="3592" max="3840"/>
    <col width="45.83203125" customWidth="1" style="104" min="3841" max="3841"/>
    <col width="14.83203125" customWidth="1" style="104" min="3842" max="3847"/>
    <col width="8.83203125" customWidth="1" style="104" min="3848" max="4096"/>
    <col width="45.83203125" customWidth="1" style="104" min="4097" max="4097"/>
    <col width="14.83203125" customWidth="1" style="104" min="4098" max="4103"/>
    <col width="8.83203125" customWidth="1" style="104" min="4104" max="4352"/>
    <col width="45.83203125" customWidth="1" style="104" min="4353" max="4353"/>
    <col width="14.83203125" customWidth="1" style="104" min="4354" max="4359"/>
    <col width="8.83203125" customWidth="1" style="104" min="4360" max="4608"/>
    <col width="45.83203125" customWidth="1" style="104" min="4609" max="4609"/>
    <col width="14.83203125" customWidth="1" style="104" min="4610" max="4615"/>
    <col width="8.83203125" customWidth="1" style="104" min="4616" max="4864"/>
    <col width="45.83203125" customWidth="1" style="104" min="4865" max="4865"/>
    <col width="14.83203125" customWidth="1" style="104" min="4866" max="4871"/>
    <col width="8.83203125" customWidth="1" style="104" min="4872" max="5120"/>
    <col width="45.83203125" customWidth="1" style="104" min="5121" max="5121"/>
    <col width="14.83203125" customWidth="1" style="104" min="5122" max="5127"/>
    <col width="8.83203125" customWidth="1" style="104" min="5128" max="5376"/>
    <col width="45.83203125" customWidth="1" style="104" min="5377" max="5377"/>
    <col width="14.83203125" customWidth="1" style="104" min="5378" max="5383"/>
    <col width="8.83203125" customWidth="1" style="104" min="5384" max="5632"/>
    <col width="45.83203125" customWidth="1" style="104" min="5633" max="5633"/>
    <col width="14.83203125" customWidth="1" style="104" min="5634" max="5639"/>
    <col width="8.83203125" customWidth="1" style="104" min="5640" max="5888"/>
    <col width="45.83203125" customWidth="1" style="104" min="5889" max="5889"/>
    <col width="14.83203125" customWidth="1" style="104" min="5890" max="5895"/>
    <col width="8.83203125" customWidth="1" style="104" min="5896" max="6144"/>
    <col width="45.83203125" customWidth="1" style="104" min="6145" max="6145"/>
    <col width="14.83203125" customWidth="1" style="104" min="6146" max="6151"/>
    <col width="8.83203125" customWidth="1" style="104" min="6152" max="6400"/>
    <col width="45.83203125" customWidth="1" style="104" min="6401" max="6401"/>
    <col width="14.83203125" customWidth="1" style="104" min="6402" max="6407"/>
    <col width="8.83203125" customWidth="1" style="104" min="6408" max="6656"/>
    <col width="45.83203125" customWidth="1" style="104" min="6657" max="6657"/>
    <col width="14.83203125" customWidth="1" style="104" min="6658" max="6663"/>
    <col width="8.83203125" customWidth="1" style="104" min="6664" max="6912"/>
    <col width="45.83203125" customWidth="1" style="104" min="6913" max="6913"/>
    <col width="14.83203125" customWidth="1" style="104" min="6914" max="6919"/>
    <col width="8.83203125" customWidth="1" style="104" min="6920" max="7168"/>
    <col width="45.83203125" customWidth="1" style="104" min="7169" max="7169"/>
    <col width="14.83203125" customWidth="1" style="104" min="7170" max="7175"/>
    <col width="8.83203125" customWidth="1" style="104" min="7176" max="7424"/>
    <col width="45.83203125" customWidth="1" style="104" min="7425" max="7425"/>
    <col width="14.83203125" customWidth="1" style="104" min="7426" max="7431"/>
    <col width="8.83203125" customWidth="1" style="104" min="7432" max="7680"/>
    <col width="45.83203125" customWidth="1" style="104" min="7681" max="7681"/>
    <col width="14.83203125" customWidth="1" style="104" min="7682" max="7687"/>
    <col width="8.83203125" customWidth="1" style="104" min="7688" max="7936"/>
    <col width="45.83203125" customWidth="1" style="104" min="7937" max="7937"/>
    <col width="14.83203125" customWidth="1" style="104" min="7938" max="7943"/>
    <col width="8.83203125" customWidth="1" style="104" min="7944" max="8192"/>
    <col width="45.83203125" customWidth="1" style="104" min="8193" max="8193"/>
    <col width="14.83203125" customWidth="1" style="104" min="8194" max="8199"/>
    <col width="8.83203125" customWidth="1" style="104" min="8200" max="8448"/>
    <col width="45.83203125" customWidth="1" style="104" min="8449" max="8449"/>
    <col width="14.83203125" customWidth="1" style="104" min="8450" max="8455"/>
    <col width="8.83203125" customWidth="1" style="104" min="8456" max="8704"/>
    <col width="45.83203125" customWidth="1" style="104" min="8705" max="8705"/>
    <col width="14.83203125" customWidth="1" style="104" min="8706" max="8711"/>
    <col width="8.83203125" customWidth="1" style="104" min="8712" max="8960"/>
    <col width="45.83203125" customWidth="1" style="104" min="8961" max="8961"/>
    <col width="14.83203125" customWidth="1" style="104" min="8962" max="8967"/>
    <col width="8.83203125" customWidth="1" style="104" min="8968" max="9216"/>
    <col width="45.83203125" customWidth="1" style="104" min="9217" max="9217"/>
    <col width="14.83203125" customWidth="1" style="104" min="9218" max="9223"/>
    <col width="8.83203125" customWidth="1" style="104" min="9224" max="9472"/>
    <col width="45.83203125" customWidth="1" style="104" min="9473" max="9473"/>
    <col width="14.83203125" customWidth="1" style="104" min="9474" max="9479"/>
    <col width="8.83203125" customWidth="1" style="104" min="9480" max="9728"/>
    <col width="45.83203125" customWidth="1" style="104" min="9729" max="9729"/>
    <col width="14.83203125" customWidth="1" style="104" min="9730" max="9735"/>
    <col width="8.83203125" customWidth="1" style="104" min="9736" max="9984"/>
    <col width="45.83203125" customWidth="1" style="104" min="9985" max="9985"/>
    <col width="14.83203125" customWidth="1" style="104" min="9986" max="9991"/>
    <col width="8.83203125" customWidth="1" style="104" min="9992" max="10240"/>
    <col width="45.83203125" customWidth="1" style="104" min="10241" max="10241"/>
    <col width="14.83203125" customWidth="1" style="104" min="10242" max="10247"/>
    <col width="8.83203125" customWidth="1" style="104" min="10248" max="10496"/>
    <col width="45.83203125" customWidth="1" style="104" min="10497" max="10497"/>
    <col width="14.83203125" customWidth="1" style="104" min="10498" max="10503"/>
    <col width="8.83203125" customWidth="1" style="104" min="10504" max="10752"/>
    <col width="45.83203125" customWidth="1" style="104" min="10753" max="10753"/>
    <col width="14.83203125" customWidth="1" style="104" min="10754" max="10759"/>
    <col width="8.83203125" customWidth="1" style="104" min="10760" max="11008"/>
    <col width="45.83203125" customWidth="1" style="104" min="11009" max="11009"/>
    <col width="14.83203125" customWidth="1" style="104" min="11010" max="11015"/>
    <col width="8.83203125" customWidth="1" style="104" min="11016" max="11264"/>
    <col width="45.83203125" customWidth="1" style="104" min="11265" max="11265"/>
    <col width="14.83203125" customWidth="1" style="104" min="11266" max="11271"/>
    <col width="8.83203125" customWidth="1" style="104" min="11272" max="11520"/>
    <col width="45.83203125" customWidth="1" style="104" min="11521" max="11521"/>
    <col width="14.83203125" customWidth="1" style="104" min="11522" max="11527"/>
    <col width="8.83203125" customWidth="1" style="104" min="11528" max="11776"/>
    <col width="45.83203125" customWidth="1" style="104" min="11777" max="11777"/>
    <col width="14.83203125" customWidth="1" style="104" min="11778" max="11783"/>
    <col width="8.83203125" customWidth="1" style="104" min="11784" max="12032"/>
    <col width="45.83203125" customWidth="1" style="104" min="12033" max="12033"/>
    <col width="14.83203125" customWidth="1" style="104" min="12034" max="12039"/>
    <col width="8.83203125" customWidth="1" style="104" min="12040" max="12288"/>
    <col width="45.83203125" customWidth="1" style="104" min="12289" max="12289"/>
    <col width="14.83203125" customWidth="1" style="104" min="12290" max="12295"/>
    <col width="8.83203125" customWidth="1" style="104" min="12296" max="12544"/>
    <col width="45.83203125" customWidth="1" style="104" min="12545" max="12545"/>
    <col width="14.83203125" customWidth="1" style="104" min="12546" max="12551"/>
    <col width="8.83203125" customWidth="1" style="104" min="12552" max="12800"/>
    <col width="45.83203125" customWidth="1" style="104" min="12801" max="12801"/>
    <col width="14.83203125" customWidth="1" style="104" min="12802" max="12807"/>
    <col width="8.83203125" customWidth="1" style="104" min="12808" max="13056"/>
    <col width="45.83203125" customWidth="1" style="104" min="13057" max="13057"/>
    <col width="14.83203125" customWidth="1" style="104" min="13058" max="13063"/>
    <col width="8.83203125" customWidth="1" style="104" min="13064" max="13312"/>
    <col width="45.83203125" customWidth="1" style="104" min="13313" max="13313"/>
    <col width="14.83203125" customWidth="1" style="104" min="13314" max="13319"/>
    <col width="8.83203125" customWidth="1" style="104" min="13320" max="13568"/>
    <col width="45.83203125" customWidth="1" style="104" min="13569" max="13569"/>
    <col width="14.83203125" customWidth="1" style="104" min="13570" max="13575"/>
    <col width="8.83203125" customWidth="1" style="104" min="13576" max="13824"/>
    <col width="45.83203125" customWidth="1" style="104" min="13825" max="13825"/>
    <col width="14.83203125" customWidth="1" style="104" min="13826" max="13831"/>
    <col width="8.83203125" customWidth="1" style="104" min="13832" max="14080"/>
    <col width="45.83203125" customWidth="1" style="104" min="14081" max="14081"/>
    <col width="14.83203125" customWidth="1" style="104" min="14082" max="14087"/>
    <col width="8.83203125" customWidth="1" style="104" min="14088" max="14336"/>
    <col width="45.83203125" customWidth="1" style="104" min="14337" max="14337"/>
    <col width="14.83203125" customWidth="1" style="104" min="14338" max="14343"/>
    <col width="8.83203125" customWidth="1" style="104" min="14344" max="14592"/>
    <col width="45.83203125" customWidth="1" style="104" min="14593" max="14593"/>
    <col width="14.83203125" customWidth="1" style="104" min="14594" max="14599"/>
    <col width="8.83203125" customWidth="1" style="104" min="14600" max="14848"/>
    <col width="45.83203125" customWidth="1" style="104" min="14849" max="14849"/>
    <col width="14.83203125" customWidth="1" style="104" min="14850" max="14855"/>
    <col width="8.83203125" customWidth="1" style="104" min="14856" max="15104"/>
    <col width="45.83203125" customWidth="1" style="104" min="15105" max="15105"/>
    <col width="14.83203125" customWidth="1" style="104" min="15106" max="15111"/>
    <col width="8.83203125" customWidth="1" style="104" min="15112" max="15360"/>
    <col width="45.83203125" customWidth="1" style="104" min="15361" max="15361"/>
    <col width="14.83203125" customWidth="1" style="104" min="15362" max="15367"/>
    <col width="8.83203125" customWidth="1" style="104" min="15368" max="15616"/>
    <col width="45.83203125" customWidth="1" style="104" min="15617" max="15617"/>
    <col width="14.83203125" customWidth="1" style="104" min="15618" max="15623"/>
    <col width="8.83203125" customWidth="1" style="104" min="15624" max="15872"/>
    <col width="45.83203125" customWidth="1" style="104" min="15873" max="15873"/>
    <col width="14.83203125" customWidth="1" style="104" min="15874" max="15879"/>
    <col width="8.83203125" customWidth="1" style="104" min="15880" max="16128"/>
    <col width="45.83203125" customWidth="1" style="104" min="16129" max="16129"/>
    <col width="14.83203125" customWidth="1" style="104" min="16130" max="16135"/>
    <col width="8.83203125" customWidth="1" style="104" min="16136" max="16384"/>
  </cols>
  <sheetData>
    <row r="1">
      <c r="A1" s="132" t="inlineStr">
        <is>
          <t>Cash Flow</t>
        </is>
      </c>
      <c r="B1" s="132" t="n"/>
      <c r="C1" s="132" t="n"/>
      <c r="D1" s="132" t="n"/>
      <c r="E1" s="132" t="n"/>
      <c r="F1" s="132" t="n"/>
      <c r="G1" s="132" t="n"/>
      <c r="H1" s="134" t="n"/>
    </row>
    <row r="2" ht="36" customHeight="1" s="240">
      <c r="A2" s="135" t="inlineStr">
        <is>
          <t xml:space="preserve">For the Fiscal Period Ending
</t>
        </is>
      </c>
      <c r="B2" s="136" t="inlineStr">
        <is>
          <t>3 months
Q1
Mar-31-2025</t>
        </is>
      </c>
      <c r="C2" s="136" t="inlineStr">
        <is>
          <t>3 months
Q2
Jun-30-2025</t>
        </is>
      </c>
      <c r="D2" s="136" t="inlineStr">
        <is>
          <t>3 months
Q3
Sep-30-2025</t>
        </is>
      </c>
      <c r="E2" s="136" t="inlineStr">
        <is>
          <t>3 months
Q4
Dec-31-2025</t>
        </is>
      </c>
      <c r="F2" s="136" t="inlineStr">
        <is>
          <t>3 months
Q1
Mar-31-2026</t>
        </is>
      </c>
      <c r="G2" s="136" t="inlineStr">
        <is>
          <t>3 months
Q2
Jun-30-2026</t>
        </is>
      </c>
      <c r="H2" s="133" t="n"/>
    </row>
    <row r="3" ht="12" customHeight="1" s="240">
      <c r="A3" s="137" t="inlineStr">
        <is>
          <t>Currency</t>
        </is>
      </c>
      <c r="B3" s="138" t="inlineStr">
        <is>
          <t>USD</t>
        </is>
      </c>
      <c r="C3" s="138" t="inlineStr">
        <is>
          <t>USD</t>
        </is>
      </c>
      <c r="D3" s="138" t="inlineStr">
        <is>
          <t>USD</t>
        </is>
      </c>
      <c r="E3" s="138" t="inlineStr">
        <is>
          <t>USD</t>
        </is>
      </c>
      <c r="F3" s="138" t="inlineStr">
        <is>
          <t>USD</t>
        </is>
      </c>
      <c r="G3" s="138" t="inlineStr">
        <is>
          <t>USD</t>
        </is>
      </c>
      <c r="H3" s="133" t="n"/>
    </row>
    <row r="4">
      <c r="A4" s="139" t="inlineStr"/>
      <c r="B4" s="140" t="n"/>
      <c r="C4" s="140" t="n"/>
      <c r="D4" s="140" t="n"/>
      <c r="E4" s="140" t="n"/>
      <c r="F4" s="140" t="n"/>
      <c r="G4" s="140" t="n"/>
      <c r="H4" s="133" t="n"/>
    </row>
    <row r="5">
      <c r="A5" s="139" t="inlineStr">
        <is>
          <t>Net Income</t>
        </is>
      </c>
      <c r="B5" s="143" t="n">
        <v>-16.3</v>
      </c>
      <c r="C5" s="143" t="n">
        <v>-21.2</v>
      </c>
      <c r="D5" s="143" t="n">
        <v>-36.9</v>
      </c>
      <c r="E5" s="143" t="n">
        <v>-21.9</v>
      </c>
      <c r="F5" s="143" t="n">
        <v>-20.1</v>
      </c>
      <c r="G5" s="143" t="n">
        <v>-19.6</v>
      </c>
      <c r="H5" s="133" t="n"/>
    </row>
    <row r="6">
      <c r="A6" s="140" t="inlineStr">
        <is>
          <t>Depreciation &amp; Amort.</t>
        </is>
      </c>
      <c r="B6" s="141" t="n">
        <v>0.983</v>
      </c>
      <c r="C6" s="141" t="n">
        <v>0.906</v>
      </c>
      <c r="D6" s="141" t="n">
        <v>1.014</v>
      </c>
      <c r="E6" s="141" t="n">
        <v>0.968</v>
      </c>
      <c r="F6" s="141" t="n">
        <v>0.987</v>
      </c>
      <c r="G6" s="141" t="n">
        <v>1</v>
      </c>
      <c r="H6" s="133" t="n"/>
    </row>
    <row r="7">
      <c r="A7" s="140" t="inlineStr">
        <is>
          <t>Amort. of Goodwill and Intangibles</t>
        </is>
      </c>
      <c r="B7" s="141" t="n">
        <v>1.299</v>
      </c>
      <c r="C7" s="141" t="n">
        <v>1.155</v>
      </c>
      <c r="D7" s="141" t="n">
        <v>1.119</v>
      </c>
      <c r="E7" s="141" t="n">
        <v>1.085</v>
      </c>
      <c r="F7" s="141" t="n">
        <v>1.412</v>
      </c>
      <c r="G7" s="141" t="n">
        <v>1.38</v>
      </c>
      <c r="H7" s="133" t="n"/>
    </row>
    <row r="8">
      <c r="A8" s="139" t="inlineStr">
        <is>
          <t>Depreciation &amp; Amort., Total</t>
        </is>
      </c>
      <c r="B8" s="142" t="n">
        <v>2.282</v>
      </c>
      <c r="C8" s="142" t="n">
        <v>2.061</v>
      </c>
      <c r="D8" s="142" t="n">
        <v>2.133</v>
      </c>
      <c r="E8" s="142" t="n">
        <v>2.053</v>
      </c>
      <c r="F8" s="142" t="n">
        <v>2.399</v>
      </c>
      <c r="G8" s="142" t="n">
        <v>2.38</v>
      </c>
      <c r="H8" s="133" t="n"/>
    </row>
    <row r="9">
      <c r="A9" s="140" t="n"/>
      <c r="B9" s="140" t="n"/>
      <c r="C9" s="140" t="n"/>
      <c r="D9" s="140" t="n"/>
      <c r="E9" s="140" t="n"/>
      <c r="F9" s="140" t="n"/>
      <c r="G9" s="140" t="n"/>
      <c r="H9" s="133" t="n"/>
    </row>
    <row r="10" ht="12" customHeight="1" s="240">
      <c r="A10" s="140" t="inlineStr">
        <is>
          <t>Other Amortization</t>
        </is>
      </c>
      <c r="B10" s="141" t="n">
        <v>1.618</v>
      </c>
      <c r="C10" s="141" t="n">
        <v>1.71</v>
      </c>
      <c r="D10" s="141" t="n">
        <v>1.491</v>
      </c>
      <c r="E10" s="141" t="n">
        <v>0</v>
      </c>
      <c r="F10" s="141" t="inlineStr">
        <is>
          <t>-</t>
        </is>
      </c>
      <c r="G10" s="141" t="inlineStr">
        <is>
          <t>-</t>
        </is>
      </c>
      <c r="H10" s="133" t="n"/>
    </row>
    <row r="11">
      <c r="A11" s="140" t="inlineStr">
        <is>
          <t>Stock-Based Compensation</t>
        </is>
      </c>
      <c r="B11" s="141" t="n">
        <v>4.691</v>
      </c>
      <c r="C11" s="141" t="n">
        <v>4.662</v>
      </c>
      <c r="D11" s="141" t="n">
        <v>6.592</v>
      </c>
      <c r="E11" s="141" t="n">
        <v>14.396</v>
      </c>
      <c r="F11" s="141" t="n">
        <v>15.564</v>
      </c>
      <c r="G11" s="141" t="n">
        <v>16.01</v>
      </c>
      <c r="H11" s="133" t="n"/>
    </row>
    <row r="12">
      <c r="A12" s="140" t="inlineStr">
        <is>
          <t>Other Operating Activities</t>
        </is>
      </c>
      <c r="B12" s="141" t="n">
        <v>0.708</v>
      </c>
      <c r="C12" s="141" t="n">
        <v>5.237</v>
      </c>
      <c r="D12" s="141" t="n">
        <v>17.7</v>
      </c>
      <c r="E12" s="141" t="n">
        <v>3.264</v>
      </c>
      <c r="F12" s="141" t="n">
        <v>3.376</v>
      </c>
      <c r="G12" s="141" t="n">
        <v>2.853</v>
      </c>
      <c r="H12" s="133" t="n"/>
    </row>
    <row r="13">
      <c r="A13" s="140" t="inlineStr">
        <is>
          <t>Change in Acc. Receivable</t>
        </is>
      </c>
      <c r="B13" s="141" t="n">
        <v>-0.5</v>
      </c>
      <c r="C13" s="141" t="n">
        <v>-5.8</v>
      </c>
      <c r="D13" s="141" t="n">
        <v>-2.1</v>
      </c>
      <c r="E13" s="141" t="n">
        <v>6.615</v>
      </c>
      <c r="F13" s="141" t="n">
        <v>-13.8</v>
      </c>
      <c r="G13" s="141" t="n">
        <v>-9.9</v>
      </c>
      <c r="H13" s="133" t="n"/>
    </row>
    <row r="14">
      <c r="A14" s="140" t="inlineStr">
        <is>
          <t>Change in Acc. Payable</t>
        </is>
      </c>
      <c r="B14" s="141" t="n">
        <v>2.455</v>
      </c>
      <c r="C14" s="141" t="n">
        <v>0.365</v>
      </c>
      <c r="D14" s="141" t="n">
        <v>-1.3</v>
      </c>
      <c r="E14" s="141" t="n">
        <v>-1.9</v>
      </c>
      <c r="F14" s="141" t="n">
        <v>2.818</v>
      </c>
      <c r="G14" s="141" t="n">
        <v>-1.2</v>
      </c>
      <c r="H14" s="133" t="n"/>
      <c r="I14" s="110" t="n"/>
      <c r="J14" s="110" t="n"/>
      <c r="K14" s="110" t="n"/>
      <c r="L14" s="110" t="n"/>
      <c r="M14" s="110" t="n"/>
      <c r="N14" s="110" t="n"/>
      <c r="O14" s="110" t="n"/>
      <c r="P14" s="110" t="n"/>
      <c r="Q14" s="110" t="n"/>
      <c r="R14" s="110" t="n"/>
      <c r="S14" s="110" t="n"/>
      <c r="T14" s="110" t="n"/>
      <c r="U14" s="110" t="n"/>
      <c r="V14" s="110" t="n"/>
      <c r="W14" s="110" t="n"/>
      <c r="X14" s="110" t="n"/>
      <c r="Y14" s="110" t="n"/>
      <c r="Z14" s="110" t="n"/>
      <c r="AA14" s="110" t="n"/>
      <c r="AB14" s="110" t="n"/>
      <c r="AC14" s="110" t="n"/>
      <c r="AD14" s="110" t="n"/>
      <c r="AE14" s="110" t="n"/>
      <c r="AF14" s="110" t="n"/>
      <c r="AG14" s="110" t="n"/>
      <c r="AH14" s="110" t="n"/>
      <c r="AI14" s="110" t="n"/>
      <c r="AJ14" s="110" t="n"/>
      <c r="AK14" s="110" t="n"/>
      <c r="AL14" s="110" t="n"/>
      <c r="AM14" s="110" t="n"/>
      <c r="AN14" s="110" t="n"/>
      <c r="AO14" s="110" t="n"/>
      <c r="AP14" s="110" t="n"/>
      <c r="AQ14" s="110" t="n"/>
      <c r="AR14" s="110" t="n"/>
      <c r="AS14" s="110" t="n"/>
      <c r="AT14" s="110" t="n"/>
      <c r="AU14" s="110" t="n"/>
      <c r="AV14" s="110" t="n"/>
      <c r="AW14" s="110" t="n"/>
      <c r="AX14" s="110" t="n"/>
      <c r="AY14" s="110" t="n"/>
      <c r="AZ14" s="110" t="n"/>
      <c r="BA14" s="110" t="n"/>
      <c r="BB14" s="110" t="n"/>
      <c r="BC14" s="110" t="n"/>
      <c r="BD14" s="110" t="n"/>
      <c r="BE14" s="110" t="n"/>
      <c r="BF14" s="110" t="n"/>
      <c r="BG14" s="110" t="n"/>
      <c r="BH14" s="110" t="n"/>
      <c r="BI14" s="110" t="n"/>
      <c r="BJ14" s="110" t="n"/>
      <c r="BK14" s="110" t="n"/>
      <c r="BL14" s="110" t="n"/>
      <c r="BM14" s="110" t="n"/>
      <c r="BN14" s="110" t="n"/>
      <c r="BO14" s="110" t="n"/>
      <c r="BP14" s="110" t="n"/>
      <c r="BQ14" s="110" t="n"/>
      <c r="BR14" s="110" t="n"/>
      <c r="BS14" s="110" t="n"/>
      <c r="BT14" s="110" t="n"/>
      <c r="BU14" s="110" t="n"/>
      <c r="BV14" s="110" t="n"/>
      <c r="BW14" s="110" t="n"/>
      <c r="BX14" s="110" t="n"/>
      <c r="BY14" s="110" t="n"/>
      <c r="BZ14" s="110" t="n"/>
      <c r="CA14" s="110" t="n"/>
      <c r="CB14" s="110" t="n"/>
      <c r="CC14" s="110" t="n"/>
      <c r="CD14" s="110" t="n"/>
      <c r="CE14" s="110" t="n"/>
      <c r="CF14" s="110" t="n"/>
      <c r="CG14" s="110" t="n"/>
      <c r="CH14" s="110" t="n"/>
      <c r="CI14" s="110" t="n"/>
      <c r="CJ14" s="110" t="n"/>
      <c r="CK14" s="110" t="n"/>
      <c r="CL14" s="110" t="n"/>
      <c r="CM14" s="110" t="n"/>
      <c r="CN14" s="110" t="n"/>
      <c r="CO14" s="110" t="n"/>
      <c r="CP14" s="110" t="n"/>
      <c r="CQ14" s="110" t="n"/>
      <c r="CR14" s="110" t="n"/>
      <c r="CS14" s="110" t="n"/>
      <c r="CT14" s="110" t="n"/>
      <c r="CU14" s="110" t="n"/>
      <c r="CV14" s="110" t="n"/>
      <c r="CW14" s="110" t="n"/>
      <c r="CX14" s="110" t="n"/>
      <c r="CY14" s="110" t="n"/>
      <c r="CZ14" s="110" t="n"/>
      <c r="DA14" s="110" t="n"/>
      <c r="DB14" s="110" t="n"/>
      <c r="DC14" s="110" t="n"/>
      <c r="DD14" s="110" t="n"/>
      <c r="DE14" s="110" t="n"/>
      <c r="DF14" s="110" t="n"/>
      <c r="DG14" s="110" t="n"/>
      <c r="DH14" s="110" t="n"/>
      <c r="DI14" s="110" t="n"/>
      <c r="DJ14" s="110" t="n"/>
      <c r="DK14" s="110" t="n"/>
      <c r="DL14" s="110" t="n"/>
      <c r="DM14" s="110" t="n"/>
      <c r="DN14" s="110" t="n"/>
      <c r="DO14" s="110" t="n"/>
      <c r="DP14" s="110" t="n"/>
      <c r="DQ14" s="110" t="n"/>
      <c r="DR14" s="110" t="n"/>
      <c r="DS14" s="110" t="n"/>
      <c r="DT14" s="110" t="n"/>
      <c r="DU14" s="110" t="n"/>
      <c r="DV14" s="110" t="n"/>
      <c r="DW14" s="110" t="n"/>
      <c r="DX14" s="110" t="n"/>
      <c r="DY14" s="110" t="n"/>
      <c r="DZ14" s="110" t="n"/>
      <c r="EA14" s="110" t="n"/>
      <c r="EB14" s="110" t="n"/>
      <c r="EC14" s="110" t="n"/>
      <c r="ED14" s="110" t="n"/>
      <c r="EE14" s="110" t="n"/>
      <c r="EF14" s="110" t="n"/>
      <c r="EG14" s="110" t="n"/>
      <c r="EH14" s="110" t="n"/>
      <c r="EI14" s="110" t="n"/>
      <c r="EJ14" s="110" t="n"/>
      <c r="EK14" s="110" t="n"/>
      <c r="EL14" s="110" t="n"/>
      <c r="EM14" s="110" t="n"/>
      <c r="EN14" s="110" t="n"/>
      <c r="EO14" s="110" t="n"/>
      <c r="EP14" s="110" t="n"/>
      <c r="EQ14" s="110" t="n"/>
      <c r="ER14" s="110" t="n"/>
      <c r="ES14" s="110" t="n"/>
      <c r="ET14" s="110" t="n"/>
      <c r="EU14" s="110" t="n"/>
      <c r="EV14" s="110" t="n"/>
      <c r="EW14" s="110" t="n"/>
      <c r="EX14" s="110" t="n"/>
      <c r="EY14" s="110" t="n"/>
      <c r="EZ14" s="110" t="n"/>
      <c r="FA14" s="110" t="n"/>
      <c r="FB14" s="110" t="n"/>
      <c r="FC14" s="110" t="n"/>
      <c r="FD14" s="110" t="n"/>
      <c r="FE14" s="110" t="n"/>
      <c r="FF14" s="110" t="n"/>
      <c r="FG14" s="110" t="n"/>
      <c r="FH14" s="110" t="n"/>
      <c r="FI14" s="110" t="n"/>
      <c r="FJ14" s="110" t="n"/>
      <c r="FK14" s="110" t="n"/>
      <c r="FL14" s="110" t="n"/>
      <c r="FM14" s="110" t="n"/>
      <c r="FN14" s="110" t="n"/>
      <c r="FO14" s="110" t="n"/>
      <c r="FP14" s="110" t="n"/>
      <c r="FQ14" s="110" t="n"/>
      <c r="FR14" s="110" t="n"/>
      <c r="FS14" s="110" t="n"/>
      <c r="FT14" s="110" t="n"/>
      <c r="FU14" s="110" t="n"/>
      <c r="FV14" s="110" t="n"/>
      <c r="FW14" s="110" t="n"/>
      <c r="FX14" s="110" t="n"/>
      <c r="FY14" s="110" t="n"/>
      <c r="FZ14" s="110" t="n"/>
      <c r="GA14" s="110" t="n"/>
      <c r="GB14" s="110" t="n"/>
      <c r="GC14" s="110" t="n"/>
      <c r="GD14" s="110" t="n"/>
      <c r="GE14" s="110" t="n"/>
      <c r="GF14" s="110" t="n"/>
      <c r="GG14" s="110" t="n"/>
      <c r="GH14" s="110" t="n"/>
      <c r="GI14" s="110" t="n"/>
      <c r="GJ14" s="110" t="n"/>
      <c r="GK14" s="110" t="n"/>
      <c r="GL14" s="110" t="n"/>
      <c r="GM14" s="110" t="n"/>
      <c r="GN14" s="110" t="n"/>
      <c r="GO14" s="110" t="n"/>
      <c r="GP14" s="110" t="n"/>
      <c r="GQ14" s="110" t="n"/>
      <c r="GR14" s="110" t="n"/>
      <c r="GS14" s="110" t="n"/>
      <c r="GT14" s="110" t="n"/>
      <c r="GU14" s="110" t="n"/>
      <c r="GV14" s="110" t="n"/>
      <c r="GW14" s="110" t="n"/>
      <c r="GX14" s="110" t="n"/>
      <c r="GY14" s="110" t="n"/>
      <c r="GZ14" s="110" t="n"/>
      <c r="HA14" s="110" t="n"/>
      <c r="HB14" s="110" t="n"/>
      <c r="HC14" s="110" t="n"/>
      <c r="HD14" s="110" t="n"/>
      <c r="HE14" s="110" t="n"/>
      <c r="HF14" s="110" t="n"/>
      <c r="HG14" s="110" t="n"/>
      <c r="HH14" s="110" t="n"/>
      <c r="HI14" s="110" t="n"/>
      <c r="HJ14" s="110" t="n"/>
      <c r="HK14" s="110" t="n"/>
      <c r="HL14" s="110" t="n"/>
      <c r="HM14" s="110" t="n"/>
      <c r="HN14" s="110" t="n"/>
      <c r="HO14" s="110" t="n"/>
      <c r="HP14" s="110" t="n"/>
      <c r="HQ14" s="110" t="n"/>
      <c r="HR14" s="110" t="n"/>
      <c r="HS14" s="110" t="n"/>
      <c r="HT14" s="110" t="n"/>
      <c r="HU14" s="110" t="n"/>
      <c r="HV14" s="110" t="n"/>
      <c r="HW14" s="110" t="n"/>
      <c r="HX14" s="110" t="n"/>
      <c r="HY14" s="110" t="n"/>
      <c r="HZ14" s="110" t="n"/>
      <c r="IA14" s="110" t="n"/>
      <c r="IB14" s="110" t="n"/>
      <c r="IC14" s="110" t="n"/>
      <c r="ID14" s="110" t="n"/>
      <c r="IE14" s="110" t="n"/>
      <c r="IF14" s="110" t="n"/>
      <c r="IG14" s="110" t="n"/>
      <c r="IH14" s="110" t="n"/>
      <c r="II14" s="110" t="n"/>
      <c r="IJ14" s="110" t="n"/>
      <c r="IK14" s="110" t="n"/>
      <c r="IL14" s="110" t="n"/>
      <c r="IM14" s="110" t="n"/>
      <c r="IN14" s="110" t="n"/>
      <c r="IO14" s="110" t="n"/>
      <c r="IP14" s="110" t="n"/>
      <c r="IQ14" s="110" t="n"/>
      <c r="IR14" s="110" t="n"/>
      <c r="IS14" s="110" t="n"/>
      <c r="IT14" s="110" t="n"/>
      <c r="IU14" s="110" t="n"/>
    </row>
    <row r="15">
      <c r="A15" s="140" t="inlineStr">
        <is>
          <t>Change in Unearned Rev.</t>
        </is>
      </c>
      <c r="B15" s="141" t="n">
        <v>-1</v>
      </c>
      <c r="C15" s="141" t="n">
        <v>-1.6</v>
      </c>
      <c r="D15" s="141" t="n">
        <v>2.672</v>
      </c>
      <c r="E15" s="141" t="n">
        <v>0.272</v>
      </c>
      <c r="F15" s="141" t="n">
        <v>-3.2</v>
      </c>
      <c r="G15" s="141" t="n">
        <v>-1.4</v>
      </c>
      <c r="H15" s="133" t="n"/>
    </row>
    <row r="16">
      <c r="A16" s="140" t="inlineStr">
        <is>
          <t>Change in Other Net Operating Assets</t>
        </is>
      </c>
      <c r="B16" s="141" t="n">
        <v>0.401</v>
      </c>
      <c r="C16" s="141" t="n">
        <v>-1.7</v>
      </c>
      <c r="D16" s="141" t="n">
        <v>1.083</v>
      </c>
      <c r="E16" s="141" t="n">
        <v>-3.2</v>
      </c>
      <c r="F16" s="141" t="n">
        <v>-8.199999999999999</v>
      </c>
      <c r="G16" s="141" t="n">
        <v>0.073</v>
      </c>
      <c r="H16" s="133" t="n"/>
    </row>
    <row r="17">
      <c r="A17" s="139" t="inlineStr">
        <is>
          <t xml:space="preserve">  Cash from Ops.</t>
        </is>
      </c>
      <c r="B17" s="142" t="n">
        <v>-5.6</v>
      </c>
      <c r="C17" s="142" t="n">
        <v>-16.3</v>
      </c>
      <c r="D17" s="142" t="n">
        <v>-8.5</v>
      </c>
      <c r="E17" s="142" t="n">
        <v>-0.5</v>
      </c>
      <c r="F17" s="142" t="n">
        <v>-21.2</v>
      </c>
      <c r="G17" s="142" t="n">
        <v>-10.6</v>
      </c>
      <c r="H17" s="133" t="n"/>
    </row>
    <row r="18">
      <c r="A18" s="140" t="n"/>
      <c r="B18" s="140" t="n"/>
      <c r="C18" s="140" t="n"/>
      <c r="D18" s="140" t="n"/>
      <c r="E18" s="140" t="n"/>
      <c r="F18" s="140" t="n"/>
      <c r="G18" s="140" t="n"/>
      <c r="H18" s="133" t="n"/>
    </row>
    <row r="19">
      <c r="A19" s="140" t="inlineStr">
        <is>
          <t>Capital Expenditure</t>
        </is>
      </c>
      <c r="B19" s="141" t="n">
        <v>-0.4</v>
      </c>
      <c r="C19" s="141" t="n">
        <v>-0.6</v>
      </c>
      <c r="D19" s="141" t="n">
        <v>-0.4</v>
      </c>
      <c r="E19" s="141" t="n">
        <v>-0.3</v>
      </c>
      <c r="F19" s="141" t="n">
        <v>-0.3</v>
      </c>
      <c r="G19" s="141" t="n">
        <v>-0.4</v>
      </c>
      <c r="H19" s="133" t="n"/>
    </row>
    <row r="20" ht="12" customHeight="1" s="240">
      <c r="A20" s="140" t="inlineStr">
        <is>
          <t>Cash Acquisitions</t>
        </is>
      </c>
      <c r="B20" s="141" t="inlineStr">
        <is>
          <t>-</t>
        </is>
      </c>
      <c r="C20" s="141" t="inlineStr">
        <is>
          <t>-</t>
        </is>
      </c>
      <c r="D20" s="141" t="inlineStr">
        <is>
          <t>-</t>
        </is>
      </c>
      <c r="E20" s="141" t="n">
        <v>-39.9</v>
      </c>
      <c r="F20" s="141" t="inlineStr">
        <is>
          <t>-</t>
        </is>
      </c>
      <c r="G20" s="141" t="n">
        <v>0.279</v>
      </c>
      <c r="H20" s="133" t="n"/>
    </row>
    <row r="21" ht="12" customHeight="1" s="240">
      <c r="A21" s="140" t="inlineStr">
        <is>
          <t>Divestitures</t>
        </is>
      </c>
      <c r="B21" s="141" t="inlineStr">
        <is>
          <t>-</t>
        </is>
      </c>
      <c r="C21" s="141" t="inlineStr">
        <is>
          <t>-</t>
        </is>
      </c>
      <c r="D21" s="141" t="inlineStr">
        <is>
          <t>-</t>
        </is>
      </c>
      <c r="E21" s="141" t="inlineStr">
        <is>
          <t>-</t>
        </is>
      </c>
      <c r="F21" s="141" t="inlineStr">
        <is>
          <t>-</t>
        </is>
      </c>
      <c r="G21" s="141" t="inlineStr">
        <is>
          <t>-</t>
        </is>
      </c>
      <c r="H21" s="133" t="n"/>
    </row>
    <row r="22">
      <c r="A22" s="140" t="inlineStr">
        <is>
          <t>Sale (Purchase) of Intangible assets</t>
        </is>
      </c>
      <c r="B22" s="141" t="n">
        <v>-0.9</v>
      </c>
      <c r="C22" s="141" t="n">
        <v>-1.2</v>
      </c>
      <c r="D22" s="141" t="n">
        <v>-1.1</v>
      </c>
      <c r="E22" s="141" t="n">
        <v>-1</v>
      </c>
      <c r="F22" s="141" t="n">
        <v>-2</v>
      </c>
      <c r="G22" s="141" t="n">
        <v>-2</v>
      </c>
      <c r="H22" s="133" t="n"/>
    </row>
    <row r="23" ht="12" customHeight="1" s="240">
      <c r="A23" s="140" t="inlineStr">
        <is>
          <t>Invest. in Marketable &amp; Equity Securt.</t>
        </is>
      </c>
      <c r="B23" s="141" t="inlineStr">
        <is>
          <t>-</t>
        </is>
      </c>
      <c r="C23" s="141" t="inlineStr">
        <is>
          <t>-</t>
        </is>
      </c>
      <c r="D23" s="141" t="inlineStr">
        <is>
          <t>-</t>
        </is>
      </c>
      <c r="E23" s="141" t="inlineStr">
        <is>
          <t>-</t>
        </is>
      </c>
      <c r="F23" s="141" t="inlineStr">
        <is>
          <t>-</t>
        </is>
      </c>
      <c r="G23" s="141" t="inlineStr">
        <is>
          <t>-</t>
        </is>
      </c>
      <c r="H23" s="133" t="n"/>
    </row>
    <row r="24" ht="12" customHeight="1" s="240">
      <c r="A24" s="140" t="inlineStr">
        <is>
          <t>Net (Inc.) Dec. in Loans Originated/Sold</t>
        </is>
      </c>
      <c r="B24" s="141" t="inlineStr">
        <is>
          <t>-</t>
        </is>
      </c>
      <c r="C24" s="141" t="inlineStr">
        <is>
          <t>-</t>
        </is>
      </c>
      <c r="D24" s="141" t="inlineStr">
        <is>
          <t>-</t>
        </is>
      </c>
      <c r="E24" s="141" t="inlineStr">
        <is>
          <t>-</t>
        </is>
      </c>
      <c r="F24" s="141" t="inlineStr">
        <is>
          <t>-</t>
        </is>
      </c>
      <c r="G24" s="141" t="inlineStr">
        <is>
          <t>-</t>
        </is>
      </c>
      <c r="H24" s="133" t="n"/>
    </row>
    <row r="25" ht="12" customHeight="1" s="240">
      <c r="A25" s="140" t="inlineStr">
        <is>
          <t>Other Investing Activities</t>
        </is>
      </c>
      <c r="B25" s="141" t="inlineStr">
        <is>
          <t>-</t>
        </is>
      </c>
      <c r="C25" s="141" t="inlineStr">
        <is>
          <t>-</t>
        </is>
      </c>
      <c r="D25" s="141" t="inlineStr">
        <is>
          <t>-</t>
        </is>
      </c>
      <c r="E25" s="141" t="inlineStr">
        <is>
          <t>-</t>
        </is>
      </c>
      <c r="F25" s="141" t="inlineStr">
        <is>
          <t>-</t>
        </is>
      </c>
      <c r="G25" s="141" t="inlineStr">
        <is>
          <t>-</t>
        </is>
      </c>
      <c r="H25" s="133" t="n"/>
    </row>
    <row r="26">
      <c r="A26" s="139" t="inlineStr">
        <is>
          <t xml:space="preserve">  Cash from Investing</t>
        </is>
      </c>
      <c r="B26" s="142" t="n">
        <v>-1.3</v>
      </c>
      <c r="C26" s="142" t="n">
        <v>-1.8</v>
      </c>
      <c r="D26" s="142" t="n">
        <v>-1.5</v>
      </c>
      <c r="E26" s="142" t="n">
        <v>-41.2</v>
      </c>
      <c r="F26" s="142" t="n">
        <v>-2.3</v>
      </c>
      <c r="G26" s="142" t="n">
        <v>-2.1</v>
      </c>
      <c r="H26" s="133" t="n"/>
    </row>
    <row r="27">
      <c r="A27" s="140" t="n"/>
      <c r="B27" s="140" t="n"/>
      <c r="C27" s="140" t="n"/>
      <c r="D27" s="140" t="n"/>
      <c r="E27" s="140" t="n"/>
      <c r="F27" s="140" t="n"/>
      <c r="G27" s="140" t="n"/>
      <c r="H27" s="133" t="n"/>
    </row>
    <row r="28" ht="12" customHeight="1" s="240">
      <c r="A28" s="140" t="inlineStr">
        <is>
          <t>Short Term Debt Issued</t>
        </is>
      </c>
      <c r="B28" s="141" t="inlineStr">
        <is>
          <t>-</t>
        </is>
      </c>
      <c r="C28" s="141" t="inlineStr">
        <is>
          <t>-</t>
        </is>
      </c>
      <c r="D28" s="141" t="inlineStr">
        <is>
          <t>-</t>
        </is>
      </c>
      <c r="E28" s="141" t="inlineStr">
        <is>
          <t>-</t>
        </is>
      </c>
      <c r="F28" s="141" t="inlineStr">
        <is>
          <t>-</t>
        </is>
      </c>
      <c r="G28" s="141" t="inlineStr">
        <is>
          <t>-</t>
        </is>
      </c>
      <c r="H28" s="133" t="n"/>
    </row>
    <row r="29" ht="12" customHeight="1" s="240">
      <c r="A29" s="140" t="inlineStr">
        <is>
          <t>Long-Term Debt Issued</t>
        </is>
      </c>
      <c r="B29" s="141" t="n">
        <v>7.5</v>
      </c>
      <c r="C29" s="141" t="inlineStr">
        <is>
          <t>-</t>
        </is>
      </c>
      <c r="D29" s="141" t="inlineStr">
        <is>
          <t>-</t>
        </is>
      </c>
      <c r="E29" s="141" t="inlineStr">
        <is>
          <t>-</t>
        </is>
      </c>
      <c r="F29" s="141" t="inlineStr">
        <is>
          <t>-</t>
        </is>
      </c>
      <c r="G29" s="141" t="inlineStr">
        <is>
          <t>-</t>
        </is>
      </c>
      <c r="H29" s="133" t="n"/>
    </row>
    <row r="30" ht="12" customHeight="1" s="240">
      <c r="A30" s="139" t="inlineStr">
        <is>
          <t>Total Debt Issued</t>
        </is>
      </c>
      <c r="B30" s="142" t="n">
        <v>7.5</v>
      </c>
      <c r="C30" s="142" t="n">
        <v>0</v>
      </c>
      <c r="D30" s="142" t="n">
        <v>0</v>
      </c>
      <c r="E30" s="142" t="n">
        <v>0</v>
      </c>
      <c r="F30" s="142" t="inlineStr">
        <is>
          <t>-</t>
        </is>
      </c>
      <c r="G30" s="142" t="inlineStr">
        <is>
          <t>-</t>
        </is>
      </c>
      <c r="H30" s="133" t="n"/>
    </row>
    <row r="31" ht="12" customHeight="1" s="240">
      <c r="A31" s="140" t="inlineStr">
        <is>
          <t>Short Term Debt Repaid</t>
        </is>
      </c>
      <c r="B31" s="141" t="inlineStr">
        <is>
          <t>-</t>
        </is>
      </c>
      <c r="C31" s="141" t="inlineStr">
        <is>
          <t>-</t>
        </is>
      </c>
      <c r="D31" s="141" t="inlineStr">
        <is>
          <t>-</t>
        </is>
      </c>
      <c r="E31" s="141" t="inlineStr">
        <is>
          <t>-</t>
        </is>
      </c>
      <c r="F31" s="141" t="inlineStr">
        <is>
          <t>-</t>
        </is>
      </c>
      <c r="G31" s="141" t="inlineStr">
        <is>
          <t>-</t>
        </is>
      </c>
      <c r="H31" s="133" t="n"/>
    </row>
    <row r="32" ht="12" customHeight="1" s="240">
      <c r="A32" s="140" t="inlineStr">
        <is>
          <t>Long-Term Debt Repaid</t>
        </is>
      </c>
      <c r="B32" s="141" t="n">
        <v>-5</v>
      </c>
      <c r="C32" s="141" t="inlineStr">
        <is>
          <t>-</t>
        </is>
      </c>
      <c r="D32" s="141" t="inlineStr">
        <is>
          <t>-</t>
        </is>
      </c>
      <c r="E32" s="141" t="inlineStr">
        <is>
          <t>-</t>
        </is>
      </c>
      <c r="F32" s="141" t="inlineStr">
        <is>
          <t>-</t>
        </is>
      </c>
      <c r="G32" s="141" t="inlineStr">
        <is>
          <t>-</t>
        </is>
      </c>
      <c r="H32" s="133" t="n"/>
    </row>
    <row r="33" ht="12" customHeight="1" s="240">
      <c r="A33" s="139" t="inlineStr">
        <is>
          <t>Total Debt Repaid</t>
        </is>
      </c>
      <c r="B33" s="142" t="n">
        <v>-5</v>
      </c>
      <c r="C33" s="142" t="n">
        <v>0</v>
      </c>
      <c r="D33" s="142" t="n">
        <v>-5</v>
      </c>
      <c r="E33" s="142" t="n">
        <v>-25</v>
      </c>
      <c r="F33" s="142" t="inlineStr">
        <is>
          <t>-</t>
        </is>
      </c>
      <c r="G33" s="142" t="inlineStr">
        <is>
          <t>-</t>
        </is>
      </c>
      <c r="H33" s="133" t="n"/>
    </row>
    <row r="34">
      <c r="A34" s="140" t="n"/>
      <c r="B34" s="140" t="n"/>
      <c r="C34" s="140" t="n"/>
      <c r="D34" s="140" t="n"/>
      <c r="E34" s="140" t="n"/>
      <c r="F34" s="140" t="n"/>
      <c r="G34" s="140" t="n"/>
      <c r="H34" s="133" t="n"/>
    </row>
    <row r="35">
      <c r="A35" s="140" t="inlineStr">
        <is>
          <t>Issuance of Common Stock</t>
        </is>
      </c>
      <c r="B35" s="141" t="n">
        <v>0.68</v>
      </c>
      <c r="C35" s="141" t="n">
        <v>1.374</v>
      </c>
      <c r="D35" s="141" t="n">
        <v>314.718</v>
      </c>
      <c r="E35" s="141" t="n">
        <v>63.388</v>
      </c>
      <c r="F35" s="141" t="n">
        <v>0.996</v>
      </c>
      <c r="G35" s="141" t="n">
        <v>0.695</v>
      </c>
      <c r="H35" s="133" t="n"/>
    </row>
    <row r="36" ht="12" customHeight="1" s="240">
      <c r="A36" s="140" t="inlineStr">
        <is>
          <t>Issuance of Pref. Stock</t>
        </is>
      </c>
      <c r="B36" s="141" t="n">
        <v>20</v>
      </c>
      <c r="C36" s="141" t="n">
        <v>0</v>
      </c>
      <c r="D36" s="141" t="n">
        <v>0</v>
      </c>
      <c r="E36" s="141" t="n">
        <v>0</v>
      </c>
      <c r="F36" s="141" t="inlineStr">
        <is>
          <t>-</t>
        </is>
      </c>
      <c r="G36" s="141" t="inlineStr">
        <is>
          <t>-</t>
        </is>
      </c>
      <c r="H36" s="133" t="n"/>
    </row>
    <row r="37">
      <c r="A37" s="140" t="n"/>
      <c r="B37" s="140" t="n"/>
      <c r="C37" s="140" t="n"/>
      <c r="D37" s="140" t="n"/>
      <c r="E37" s="140" t="n"/>
      <c r="F37" s="140" t="n"/>
      <c r="G37" s="140" t="n"/>
      <c r="H37" s="133" t="n"/>
    </row>
    <row r="38" ht="12" customHeight="1" s="240">
      <c r="A38" s="139" t="inlineStr">
        <is>
          <t>Total Dividends Paid</t>
        </is>
      </c>
      <c r="B38" s="142" t="inlineStr">
        <is>
          <t>-</t>
        </is>
      </c>
      <c r="C38" s="142" t="inlineStr">
        <is>
          <t>-</t>
        </is>
      </c>
      <c r="D38" s="142" t="inlineStr">
        <is>
          <t>-</t>
        </is>
      </c>
      <c r="E38" s="142" t="inlineStr">
        <is>
          <t>-</t>
        </is>
      </c>
      <c r="F38" s="142" t="inlineStr">
        <is>
          <t>-</t>
        </is>
      </c>
      <c r="G38" s="142" t="inlineStr">
        <is>
          <t>-</t>
        </is>
      </c>
      <c r="H38" s="133" t="n"/>
    </row>
    <row r="39">
      <c r="A39" s="140" t="n"/>
      <c r="B39" s="140" t="n"/>
      <c r="C39" s="140" t="n"/>
      <c r="D39" s="140" t="n"/>
      <c r="E39" s="140" t="n"/>
      <c r="F39" s="140" t="n"/>
      <c r="G39" s="140" t="n"/>
      <c r="H39" s="133" t="n"/>
    </row>
    <row r="40" ht="12" customHeight="1" s="240">
      <c r="A40" s="140" t="inlineStr">
        <is>
          <t>Special Dividend Paid</t>
        </is>
      </c>
      <c r="B40" s="141" t="inlineStr">
        <is>
          <t>-</t>
        </is>
      </c>
      <c r="C40" s="141" t="inlineStr">
        <is>
          <t>-</t>
        </is>
      </c>
      <c r="D40" s="141" t="inlineStr">
        <is>
          <t>-</t>
        </is>
      </c>
      <c r="E40" s="141" t="inlineStr">
        <is>
          <t>-</t>
        </is>
      </c>
      <c r="F40" s="141" t="inlineStr">
        <is>
          <t>-</t>
        </is>
      </c>
      <c r="G40" s="141" t="inlineStr">
        <is>
          <t>-</t>
        </is>
      </c>
      <c r="H40" s="133" t="n"/>
    </row>
    <row r="41" ht="12" customHeight="1" s="240">
      <c r="A41" s="140" t="inlineStr">
        <is>
          <t>Other Financing Activities</t>
        </is>
      </c>
      <c r="B41" s="141" t="n">
        <v>-0.3</v>
      </c>
      <c r="C41" s="141" t="n">
        <v>0</v>
      </c>
      <c r="D41" s="141" t="n">
        <v>0</v>
      </c>
      <c r="E41" s="141" t="n">
        <v>-4</v>
      </c>
      <c r="F41" s="141" t="inlineStr">
        <is>
          <t>-</t>
        </is>
      </c>
      <c r="G41" s="141" t="inlineStr">
        <is>
          <t>-</t>
        </is>
      </c>
      <c r="H41" s="133" t="n"/>
    </row>
    <row r="42">
      <c r="A42" s="139" t="inlineStr">
        <is>
          <t xml:space="preserve">  Cash from Financing</t>
        </is>
      </c>
      <c r="B42" s="142" t="n">
        <v>22.858</v>
      </c>
      <c r="C42" s="142" t="n">
        <v>1.374</v>
      </c>
      <c r="D42" s="142" t="n">
        <v>309.718</v>
      </c>
      <c r="E42" s="142" t="n">
        <v>34.376</v>
      </c>
      <c r="F42" s="142" t="n">
        <v>0.996</v>
      </c>
      <c r="G42" s="142" t="n">
        <v>0.695</v>
      </c>
      <c r="H42" s="133" t="n"/>
    </row>
    <row r="43">
      <c r="A43" s="140" t="n"/>
      <c r="B43" s="140" t="n"/>
      <c r="C43" s="140" t="n"/>
      <c r="D43" s="140" t="n"/>
      <c r="E43" s="140" t="n"/>
      <c r="F43" s="140" t="n"/>
      <c r="G43" s="140" t="n"/>
      <c r="H43" s="133" t="n"/>
    </row>
    <row r="44">
      <c r="A44" s="140" t="inlineStr">
        <is>
          <t>Foreign Exchange Rate Adj.</t>
        </is>
      </c>
      <c r="B44" s="141" t="n">
        <v>0.322</v>
      </c>
      <c r="C44" s="141" t="n">
        <v>0.743</v>
      </c>
      <c r="D44" s="141" t="n">
        <v>0.261</v>
      </c>
      <c r="E44" s="141" t="n">
        <v>0.119</v>
      </c>
      <c r="F44" s="141" t="n">
        <v>-0.2</v>
      </c>
      <c r="G44" s="141" t="n">
        <v>-0.1</v>
      </c>
      <c r="H44" s="133" t="n"/>
    </row>
    <row r="45">
      <c r="A45" s="139" t="inlineStr">
        <is>
          <t xml:space="preserve">  Net Change in Cash</t>
        </is>
      </c>
      <c r="B45" s="144" t="n">
        <v>16.324</v>
      </c>
      <c r="C45" s="144" t="n">
        <v>-16</v>
      </c>
      <c r="D45" s="144" t="n">
        <v>299.991</v>
      </c>
      <c r="E45" s="144" t="n">
        <v>-7.2</v>
      </c>
      <c r="F45" s="144" t="n">
        <v>-22.7</v>
      </c>
      <c r="G45" s="144" t="n">
        <v>-12.2</v>
      </c>
      <c r="H45" s="133" t="n"/>
    </row>
    <row r="46">
      <c r="A46" s="140" t="n"/>
      <c r="B46" s="140" t="n"/>
      <c r="C46" s="140" t="n"/>
      <c r="D46" s="140" t="n"/>
      <c r="E46" s="140" t="n"/>
      <c r="F46" s="140" t="n"/>
      <c r="G46" s="140" t="n"/>
      <c r="H46" s="133" t="n"/>
    </row>
    <row r="47">
      <c r="A47" s="139" t="inlineStr">
        <is>
          <t>Supplemental Items</t>
        </is>
      </c>
      <c r="B47" s="140" t="n"/>
      <c r="C47" s="140" t="n"/>
      <c r="D47" s="140" t="n"/>
      <c r="E47" s="140" t="n"/>
      <c r="F47" s="140" t="n"/>
      <c r="G47" s="140" t="n"/>
      <c r="H47" s="133" t="n"/>
    </row>
    <row r="48" ht="12" customHeight="1" s="240">
      <c r="A48" s="140" t="inlineStr">
        <is>
          <t>Cash Interest Paid</t>
        </is>
      </c>
      <c r="B48" s="141" t="n">
        <v>0.796</v>
      </c>
      <c r="C48" s="141" t="n">
        <v>0.642</v>
      </c>
      <c r="D48" s="141" t="n">
        <v>0.8110000000000001</v>
      </c>
      <c r="E48" s="141" t="n">
        <v>0.529</v>
      </c>
      <c r="F48" s="141" t="inlineStr">
        <is>
          <t>NA</t>
        </is>
      </c>
      <c r="G48" s="141" t="n">
        <v>0.41</v>
      </c>
      <c r="H48" s="133" t="n"/>
    </row>
    <row r="49">
      <c r="A49" s="140" t="inlineStr">
        <is>
          <t>Cash Taxes Paid</t>
        </is>
      </c>
      <c r="B49" s="141" t="n">
        <v>0.328</v>
      </c>
      <c r="C49" s="141" t="n">
        <v>0.59</v>
      </c>
      <c r="D49" s="141" t="n">
        <v>2.24</v>
      </c>
      <c r="E49" s="141" t="n">
        <v>0.26</v>
      </c>
      <c r="F49" s="141" t="n">
        <v>0.311</v>
      </c>
      <c r="G49" s="141" t="n">
        <v>0.483</v>
      </c>
      <c r="H49" s="133" t="n"/>
    </row>
    <row r="50" ht="12" customHeight="1" s="240">
      <c r="A50" s="140" t="inlineStr">
        <is>
          <t>Levered Free Cash Flow</t>
        </is>
      </c>
      <c r="B50" s="141" t="inlineStr">
        <is>
          <t>NA</t>
        </is>
      </c>
      <c r="C50" s="141" t="inlineStr">
        <is>
          <t>NA</t>
        </is>
      </c>
      <c r="D50" s="141" t="n">
        <v>-0.1</v>
      </c>
      <c r="E50" s="141" t="n">
        <v>1.61575</v>
      </c>
      <c r="F50" s="141" t="n">
        <v>-17.5</v>
      </c>
      <c r="G50" s="141" t="n">
        <v>-6.7</v>
      </c>
      <c r="H50" s="133" t="n"/>
    </row>
    <row r="51" ht="12" customHeight="1" s="240">
      <c r="A51" s="140" t="inlineStr">
        <is>
          <t>Unlevered Free Cash Flow</t>
        </is>
      </c>
      <c r="B51" s="141" t="inlineStr">
        <is>
          <t>NA</t>
        </is>
      </c>
      <c r="C51" s="141" t="inlineStr">
        <is>
          <t>NA</t>
        </is>
      </c>
      <c r="D51" s="141" t="n">
        <v>-0.2</v>
      </c>
      <c r="E51" s="141" t="n">
        <v>1.847625</v>
      </c>
      <c r="F51" s="141" t="n">
        <v>-17.3</v>
      </c>
      <c r="G51" s="141" t="n">
        <v>-6.5</v>
      </c>
      <c r="H51" s="133" t="n"/>
    </row>
    <row r="52" ht="12" customHeight="1" s="240">
      <c r="A52" s="140" t="inlineStr">
        <is>
          <t>Change in Net Working Capital</t>
        </is>
      </c>
      <c r="B52" s="141" t="inlineStr">
        <is>
          <t>NA</t>
        </is>
      </c>
      <c r="C52" s="141" t="inlineStr">
        <is>
          <t>NA</t>
        </is>
      </c>
      <c r="D52" s="141" t="n">
        <v>-4.3</v>
      </c>
      <c r="E52" s="141" t="n">
        <v>-2</v>
      </c>
      <c r="F52" s="141" t="n">
        <v>18.266</v>
      </c>
      <c r="G52" s="141" t="n">
        <v>8.907</v>
      </c>
      <c r="H52" s="133" t="n"/>
    </row>
    <row r="53" ht="12" customHeight="1" s="240">
      <c r="A53" s="140" t="inlineStr">
        <is>
          <t>Net Debt Issued</t>
        </is>
      </c>
      <c r="B53" s="141" t="n">
        <v>2.5</v>
      </c>
      <c r="C53" s="141" t="n">
        <v>0</v>
      </c>
      <c r="D53" s="141" t="n">
        <v>-5</v>
      </c>
      <c r="E53" s="141" t="n">
        <v>-25</v>
      </c>
      <c r="F53" s="141" t="inlineStr">
        <is>
          <t>NA</t>
        </is>
      </c>
      <c r="G53" s="141" t="inlineStr">
        <is>
          <t>NA</t>
        </is>
      </c>
      <c r="H53" s="133" t="n"/>
    </row>
    <row r="54">
      <c r="A54" s="140" t="inlineStr">
        <is>
          <t>Filing Date</t>
        </is>
      </c>
      <c r="B54" s="272" t="n">
        <v>46154</v>
      </c>
      <c r="C54" s="272" t="n">
        <v>46240</v>
      </c>
      <c r="D54" s="272" t="n">
        <v>45975</v>
      </c>
      <c r="E54" s="272" t="n">
        <v>46087</v>
      </c>
      <c r="F54" s="272" t="n">
        <v>46154</v>
      </c>
      <c r="G54" s="272" t="n">
        <v>46240</v>
      </c>
      <c r="H54" s="133" t="n"/>
    </row>
    <row r="55" ht="12" customHeight="1" s="240">
      <c r="A55" s="140" t="inlineStr">
        <is>
          <t>Restatement Type</t>
        </is>
      </c>
      <c r="B55" s="149" t="inlineStr">
        <is>
          <t>O</t>
        </is>
      </c>
      <c r="C55" s="149" t="inlineStr">
        <is>
          <t>NC</t>
        </is>
      </c>
      <c r="D55" s="149" t="inlineStr">
        <is>
          <t>O</t>
        </is>
      </c>
      <c r="E55" s="149" t="inlineStr">
        <is>
          <t>O</t>
        </is>
      </c>
      <c r="F55" s="149" t="inlineStr">
        <is>
          <t>O</t>
        </is>
      </c>
      <c r="G55" s="149" t="inlineStr">
        <is>
          <t>O</t>
        </is>
      </c>
      <c r="H55" s="133" t="n"/>
    </row>
    <row r="56" ht="12" customHeight="1" s="240">
      <c r="A56" s="140" t="inlineStr">
        <is>
          <t>Calculation Type</t>
        </is>
      </c>
      <c r="B56" s="149" t="inlineStr">
        <is>
          <t>REP</t>
        </is>
      </c>
      <c r="C56" s="149" t="inlineStr">
        <is>
          <t>CFQ</t>
        </is>
      </c>
      <c r="D56" s="149" t="inlineStr">
        <is>
          <t>CFQ</t>
        </is>
      </c>
      <c r="E56" s="149" t="inlineStr">
        <is>
          <t>CFQ</t>
        </is>
      </c>
      <c r="F56" s="149" t="inlineStr">
        <is>
          <t>REP</t>
        </is>
      </c>
      <c r="G56" s="149" t="inlineStr">
        <is>
          <t>CFQ</t>
        </is>
      </c>
      <c r="H56" s="133" t="n"/>
    </row>
    <row r="57">
      <c r="A57" s="140" t="n"/>
      <c r="B57" s="140" t="n"/>
      <c r="C57" s="140" t="n"/>
      <c r="D57" s="140" t="n"/>
      <c r="E57" s="140" t="n"/>
      <c r="F57" s="140" t="n"/>
      <c r="G57" s="140" t="n"/>
      <c r="H57" s="133" t="n"/>
    </row>
    <row r="58" ht="72" customHeight="1" s="240">
      <c r="A58" s="155" t="inlineStr"/>
      <c r="B58" s="150" t="n"/>
      <c r="C58" s="150" t="n"/>
      <c r="D58" s="150" t="n"/>
      <c r="E58" s="150" t="n"/>
      <c r="F58" s="150" t="n"/>
      <c r="G58" s="150" t="n"/>
      <c r="H58" s="133" t="n"/>
    </row>
    <row r="59">
      <c r="A59" s="133" t="n"/>
      <c r="B59" s="133" t="n"/>
      <c r="C59" s="133" t="n"/>
      <c r="D59" s="133" t="n"/>
      <c r="E59" s="133" t="n"/>
      <c r="F59" s="133" t="n"/>
      <c r="G59" s="133" t="n"/>
      <c r="H59" s="133" t="n"/>
    </row>
    <row r="60">
      <c r="A60" s="133" t="n"/>
      <c r="B60" s="133" t="n"/>
      <c r="C60" s="133" t="n"/>
      <c r="D60" s="133" t="n"/>
      <c r="E60" s="133" t="n"/>
      <c r="F60" s="133" t="n"/>
      <c r="G60" s="133" t="n"/>
      <c r="H60" s="133" t="n"/>
    </row>
    <row r="61">
      <c r="A61" s="133" t="n"/>
      <c r="B61" s="133" t="n"/>
      <c r="C61" s="133" t="n"/>
      <c r="D61" s="133" t="n"/>
      <c r="E61" s="133" t="n"/>
      <c r="F61" s="133" t="n"/>
      <c r="G61" s="133" t="n"/>
      <c r="H61" s="133" t="n"/>
    </row>
    <row r="62">
      <c r="A62" s="133" t="n"/>
      <c r="B62" s="133" t="n"/>
      <c r="C62" s="133" t="n"/>
      <c r="D62" s="133" t="n"/>
      <c r="E62" s="133" t="n"/>
      <c r="F62" s="133" t="n"/>
      <c r="G62" s="133" t="n"/>
      <c r="H62" s="133" t="n"/>
    </row>
  </sheetData>
  <pageMargins left="0.2" right="0.2" top="0.5" bottom="0.5" header="0.5" footer="0.5"/>
  <pageSetup orientation="landscape" fitToHeight="0" fitToWidth="0"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2026-02-13T02:42:09Z</dcterms:created>
  <dcterms:modified xsi:type="dcterms:W3CDTF">2026-09-24T21:38:37Z</dcterms:modified>
  <cp:lastModifiedBy>Xue, Chloe</cp:lastModifiedBy>
  <cp:revision>0</cp:revision>
</cp:coreProperties>
</file>

<file path=docProps/custom.xml><?xml version="1.0" encoding="utf-8"?>
<Properties xmlns:vt="http://schemas.openxmlformats.org/officeDocument/2006/docPropsVTypes" xmlns="http://schemas.openxmlformats.org/officeDocument/2006/custom-properties">
  <property name="EM_Doc_Temp_ID" fmtid="{D5CDD505-2E9C-101B-9397-08002B2CF9AE}" pid="2">
    <vt:lpwstr>9D00DEBA-828B-4DC5-8651-EED15B2D37E7</vt:lpwstr>
  </property>
</Properties>
</file>